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api.box.com/wopi/files/2337440973280/WOPIServiceId_TP_BOX_2/WOPIUserId_-/"/>
    </mc:Choice>
  </mc:AlternateContent>
  <xr:revisionPtr revIDLastSave="53" documentId="11_0AF355AA738872C5407851FECA1708E21806FAA0" xr6:coauthVersionLast="47" xr6:coauthVersionMax="47" xr10:uidLastSave="{D3B1B32F-A0C2-9B4C-B9AE-6DCC15D4AFC2}"/>
  <bookViews>
    <workbookView xWindow="23800" yWindow="2600" windowWidth="27400" windowHeight="26200" activeTab="1" xr2:uid="{00000000-000D-0000-FFFF-FFFF00000000}"/>
  </bookViews>
  <sheets>
    <sheet name="Inventory for JA" sheetId="2" r:id="rId1"/>
    <sheet name="Calculator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 a="1"/>
  <c r="B10" i="3" s="1"/>
  <c r="E4" i="3" s="1"/>
  <c r="B9" i="3" a="1"/>
  <c r="B9" i="3" s="1"/>
  <c r="E5" i="3" s="1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<sst xmlns="http://schemas.openxmlformats.org/spreadsheetml/2006/main" count="1170" uniqueCount="25">
  <si>
    <t>Insured Type</t>
  </si>
  <si>
    <t>Primary Gender</t>
  </si>
  <si>
    <t>Primary Age</t>
  </si>
  <si>
    <t>Primary Health</t>
  </si>
  <si>
    <t>Secondary Gender</t>
  </si>
  <si>
    <t>Secondary Age (Wife)</t>
  </si>
  <si>
    <t>Secondary Health (Wife)</t>
  </si>
  <si>
    <t>Discount %</t>
  </si>
  <si>
    <t>Individual</t>
  </si>
  <si>
    <t>Male</t>
  </si>
  <si>
    <t>Preferred</t>
  </si>
  <si>
    <t/>
  </si>
  <si>
    <t>Standard</t>
  </si>
  <si>
    <t>Female</t>
  </si>
  <si>
    <t>Survivorship</t>
  </si>
  <si>
    <t>Secondary Age</t>
  </si>
  <si>
    <t>Secondary Health</t>
  </si>
  <si>
    <t>DB/$5,000,000</t>
  </si>
  <si>
    <t>Input Premium=</t>
  </si>
  <si>
    <t>Output Death DB=</t>
  </si>
  <si>
    <t>Buyout Price=</t>
  </si>
  <si>
    <t>Basics:</t>
  </si>
  <si>
    <t>Inputs</t>
  </si>
  <si>
    <t>Lookups</t>
  </si>
  <si>
    <t>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</si>
</sst>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0"/>
      <color rgb="FF000000"/>
      <name val="Arial"/>
      <scheme val="minor"/>
    </font>
    <font>
      <b/>
      <sz val="10"/>
      <color rgb="FFFFFFFF"/>
      <name val="Montserrat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E5E5E5"/>
        <bgColor rgb="FFE5E5E5"/>
      </patternFill>
    </fill>
    <fill>
      <patternFill patternType="solid">
        <fgColor rgb="FFFFFFFF"/>
        <bgColor rgb="FFFFFFFF"/>
      </patternFill>
    </fill>
    <fill>
      <patternFill patternType="solid">
        <fgColor rgb="FFCCE5FF"/>
        <bgColor rgb="FFCCE5FF"/>
      </patternFill>
    </fill>
    <fill>
      <patternFill patternType="solid">
        <fgColor theme="2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10" fontId="2" fillId="0" borderId="0" xfId="0" applyNumberFormat="1" applyFont="1"/>
    <xf numFmtId="2" fontId="2" fillId="0" borderId="0" xfId="0" applyNumberFormat="1" applyFont="1"/>
    <xf numFmtId="0" fontId="2" fillId="0" borderId="0" xfId="0" applyFont="1"/>
    <xf numFmtId="0" fontId="3" fillId="2" borderId="0" xfId="0" applyFont="1" applyFill="1"/>
    <xf numFmtId="0" fontId="2" fillId="3" borderId="0" xfId="0" applyFont="1" applyFill="1"/>
    <xf numFmtId="0" fontId="4" fillId="4" borderId="0" xfId="0" applyFont="1" applyFill="1"/>
    <xf numFmtId="0" fontId="1" fillId="2" borderId="0" xfId="0" quotePrefix="1" applyFont="1" applyFill="1" applyAlignment="1">
      <alignment horizontal="left"/>
    </xf>
    <xf numFmtId="0" fontId="4" fillId="0" borderId="0" xfId="0" applyFont="1"/>
    <xf numFmtId="6" fontId="0" fillId="6" borderId="0" xfId="0" applyNumberFormat="1" applyFill="1"/>
    <xf numFmtId="0" fontId="3" fillId="2" borderId="0" xfId="0" quotePrefix="1" applyFont="1" applyFill="1" applyAlignment="1">
      <alignment horizontal="left"/>
    </xf>
    <xf numFmtId="8" fontId="5" fillId="5" borderId="0" xfId="0" applyNumberFormat="1" applyFont="1" applyFill="1"/>
    <xf numFmtId="10" fontId="5" fillId="5" borderId="0" xfId="0" applyNumberFormat="1" applyFont="1" applyFill="1"/>
    <xf numFmtId="2" fontId="5" fillId="5" borderId="0" xfId="0" applyNumberFormat="1" applyFont="1" applyFill="1"/>
  </cellXfs>
  <cellStyles count="1">
    <cellStyle name="Normal" xfId="0" builtinId="0"/>
  </cellStyles>
  <dxfs count="5">
    <dxf>
      <font>
        <color rgb="FFFFFFFF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</dxfs>
  <tableStyles count="2">
    <tableStyle name="Inventory-style" pivot="0" count="2" xr9:uid="{00000000-0011-0000-FFFF-FFFF00000000}">
      <tableStyleElement type="firstRowStripe" dxfId="4"/>
      <tableStyleElement type="secondRowStripe" dxfId="3"/>
    </tableStyle>
    <tableStyle name="Copy of Inventory-style" pivot="0" count="2" xr9:uid="{00000000-0011-0000-FFFF-FFFF01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I229" headerRowCount="0">
  <tableColumns count="9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</tableColumns>
  <tableStyleInfo name="Copy of Invento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588AFD-F8C6-BA49-BAEB-69B76B667BF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d868d7a-5425-405c-860c-2c1d0161752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29"/>
  <sheetViews>
    <sheetView workbookViewId="0">
      <selection activeCell="I1" sqref="I1"/>
    </sheetView>
  </sheetViews>
  <sheetFormatPr baseColWidth="10" defaultColWidth="12.5" defaultRowHeight="15.75" customHeight="1" x14ac:dyDescent="0.15"/>
  <cols>
    <col min="1" max="1" width="14.1640625" bestFit="1" customWidth="1"/>
    <col min="2" max="2" width="17" bestFit="1" customWidth="1"/>
    <col min="3" max="3" width="13.5" bestFit="1" customWidth="1"/>
    <col min="4" max="4" width="16.1640625" bestFit="1" customWidth="1"/>
    <col min="5" max="5" width="19.5" bestFit="1" customWidth="1"/>
    <col min="6" max="6" width="22.83203125" bestFit="1" customWidth="1"/>
    <col min="7" max="7" width="25.5" bestFit="1" customWidth="1"/>
    <col min="8" max="8" width="12.33203125" bestFit="1" customWidth="1"/>
    <col min="9" max="9" width="15.5" bestFit="1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17</v>
      </c>
    </row>
    <row r="2" spans="1:9" ht="15.75" customHeight="1" x14ac:dyDescent="0.15">
      <c r="A2" s="4" t="s">
        <v>8</v>
      </c>
      <c r="B2" s="4" t="s">
        <v>9</v>
      </c>
      <c r="C2" s="4">
        <v>55</v>
      </c>
      <c r="D2" s="4" t="s">
        <v>10</v>
      </c>
      <c r="E2" s="4" t="str">
        <f t="shared" ref="E2:E85" si="0">IF(A2="Survivorship", "Female", "")</f>
        <v/>
      </c>
      <c r="F2" s="4" t="s">
        <v>11</v>
      </c>
      <c r="G2" s="4" t="s">
        <v>11</v>
      </c>
      <c r="H2" s="2">
        <v>0.59204000000000001</v>
      </c>
      <c r="I2" s="3">
        <v>19600000</v>
      </c>
    </row>
    <row r="3" spans="1:9" ht="15.75" customHeight="1" x14ac:dyDescent="0.15">
      <c r="A3" s="4" t="s">
        <v>8</v>
      </c>
      <c r="B3" s="4" t="s">
        <v>9</v>
      </c>
      <c r="C3" s="4">
        <v>55</v>
      </c>
      <c r="D3" s="4" t="s">
        <v>12</v>
      </c>
      <c r="E3" s="4" t="str">
        <f t="shared" si="0"/>
        <v/>
      </c>
      <c r="F3" s="4" t="s">
        <v>11</v>
      </c>
      <c r="G3" s="4" t="s">
        <v>11</v>
      </c>
      <c r="H3" s="2">
        <v>0.57191970000000003</v>
      </c>
      <c r="I3" s="3">
        <v>18230000</v>
      </c>
    </row>
    <row r="4" spans="1:9" ht="15.75" customHeight="1" x14ac:dyDescent="0.15">
      <c r="A4" s="4" t="s">
        <v>8</v>
      </c>
      <c r="B4" s="4" t="s">
        <v>9</v>
      </c>
      <c r="C4" s="4">
        <v>56</v>
      </c>
      <c r="D4" s="4" t="s">
        <v>10</v>
      </c>
      <c r="E4" s="4" t="str">
        <f t="shared" si="0"/>
        <v/>
      </c>
      <c r="F4" s="4" t="s">
        <v>11</v>
      </c>
      <c r="G4" s="4" t="s">
        <v>11</v>
      </c>
      <c r="H4" s="2">
        <v>0.59446310000000002</v>
      </c>
      <c r="I4" s="3">
        <v>18450000</v>
      </c>
    </row>
    <row r="5" spans="1:9" ht="15.75" customHeight="1" x14ac:dyDescent="0.15">
      <c r="A5" s="4" t="s">
        <v>8</v>
      </c>
      <c r="B5" s="4" t="s">
        <v>9</v>
      </c>
      <c r="C5" s="4">
        <v>56</v>
      </c>
      <c r="D5" s="4" t="s">
        <v>12</v>
      </c>
      <c r="E5" s="4" t="str">
        <f t="shared" si="0"/>
        <v/>
      </c>
      <c r="F5" s="4" t="s">
        <v>11</v>
      </c>
      <c r="G5" s="4" t="s">
        <v>11</v>
      </c>
      <c r="H5" s="2">
        <v>0.57697399999999999</v>
      </c>
      <c r="I5" s="3">
        <v>17220000</v>
      </c>
    </row>
    <row r="6" spans="1:9" ht="15.75" customHeight="1" x14ac:dyDescent="0.15">
      <c r="A6" s="4" t="s">
        <v>8</v>
      </c>
      <c r="B6" s="4" t="s">
        <v>9</v>
      </c>
      <c r="C6" s="4">
        <v>57</v>
      </c>
      <c r="D6" s="4" t="s">
        <v>10</v>
      </c>
      <c r="E6" s="4" t="str">
        <f t="shared" si="0"/>
        <v/>
      </c>
      <c r="F6" s="4" t="s">
        <v>11</v>
      </c>
      <c r="G6" s="4" t="s">
        <v>11</v>
      </c>
      <c r="H6" s="2">
        <v>0.59514020000000001</v>
      </c>
      <c r="I6" s="3">
        <v>17380000</v>
      </c>
    </row>
    <row r="7" spans="1:9" ht="15.75" customHeight="1" x14ac:dyDescent="0.15">
      <c r="A7" s="4" t="s">
        <v>8</v>
      </c>
      <c r="B7" s="4" t="s">
        <v>9</v>
      </c>
      <c r="C7" s="4">
        <v>57</v>
      </c>
      <c r="D7" s="4" t="s">
        <v>12</v>
      </c>
      <c r="E7" s="4" t="str">
        <f t="shared" si="0"/>
        <v/>
      </c>
      <c r="F7" s="4" t="s">
        <v>11</v>
      </c>
      <c r="G7" s="4" t="s">
        <v>11</v>
      </c>
      <c r="H7" s="2">
        <v>0.58019770000000004</v>
      </c>
      <c r="I7" s="3">
        <v>16270000</v>
      </c>
    </row>
    <row r="8" spans="1:9" ht="15.75" customHeight="1" x14ac:dyDescent="0.15">
      <c r="A8" s="4" t="s">
        <v>8</v>
      </c>
      <c r="B8" s="4" t="s">
        <v>9</v>
      </c>
      <c r="C8" s="4">
        <v>58</v>
      </c>
      <c r="D8" s="4" t="s">
        <v>10</v>
      </c>
      <c r="E8" s="4" t="str">
        <f t="shared" si="0"/>
        <v/>
      </c>
      <c r="F8" s="4" t="s">
        <v>11</v>
      </c>
      <c r="G8" s="4" t="s">
        <v>11</v>
      </c>
      <c r="H8" s="2">
        <v>0.59282729999999995</v>
      </c>
      <c r="I8" s="3">
        <v>16360000</v>
      </c>
    </row>
    <row r="9" spans="1:9" ht="15.75" customHeight="1" x14ac:dyDescent="0.15">
      <c r="A9" s="4" t="s">
        <v>8</v>
      </c>
      <c r="B9" s="4" t="s">
        <v>9</v>
      </c>
      <c r="C9" s="4">
        <v>58</v>
      </c>
      <c r="D9" s="4" t="s">
        <v>12</v>
      </c>
      <c r="E9" s="4" t="str">
        <f t="shared" si="0"/>
        <v/>
      </c>
      <c r="F9" s="4" t="s">
        <v>11</v>
      </c>
      <c r="G9" s="4" t="s">
        <v>11</v>
      </c>
      <c r="H9" s="2">
        <v>0.57953769999999993</v>
      </c>
      <c r="I9" s="3">
        <v>15350000</v>
      </c>
    </row>
    <row r="10" spans="1:9" ht="15.75" customHeight="1" x14ac:dyDescent="0.15">
      <c r="A10" s="4" t="s">
        <v>8</v>
      </c>
      <c r="B10" s="4" t="s">
        <v>9</v>
      </c>
      <c r="C10" s="4">
        <v>59</v>
      </c>
      <c r="D10" s="4" t="s">
        <v>10</v>
      </c>
      <c r="E10" s="4" t="str">
        <f t="shared" si="0"/>
        <v/>
      </c>
      <c r="F10" s="4" t="s">
        <v>11</v>
      </c>
      <c r="G10" s="4" t="s">
        <v>11</v>
      </c>
      <c r="H10" s="2">
        <v>0.590337</v>
      </c>
      <c r="I10" s="3">
        <v>15420000</v>
      </c>
    </row>
    <row r="11" spans="1:9" ht="15.75" customHeight="1" x14ac:dyDescent="0.15">
      <c r="A11" s="4" t="s">
        <v>8</v>
      </c>
      <c r="B11" s="4" t="s">
        <v>9</v>
      </c>
      <c r="C11" s="4">
        <v>59</v>
      </c>
      <c r="D11" s="4" t="s">
        <v>12</v>
      </c>
      <c r="E11" s="4" t="str">
        <f t="shared" si="0"/>
        <v/>
      </c>
      <c r="F11" s="4" t="s">
        <v>11</v>
      </c>
      <c r="G11" s="4" t="s">
        <v>11</v>
      </c>
      <c r="H11" s="2">
        <v>0.57871470000000003</v>
      </c>
      <c r="I11" s="3">
        <v>14500000</v>
      </c>
    </row>
    <row r="12" spans="1:9" ht="15.75" customHeight="1" x14ac:dyDescent="0.15">
      <c r="A12" s="4" t="s">
        <v>8</v>
      </c>
      <c r="B12" s="4" t="s">
        <v>9</v>
      </c>
      <c r="C12" s="4">
        <v>60</v>
      </c>
      <c r="D12" s="4" t="s">
        <v>10</v>
      </c>
      <c r="E12" s="4" t="str">
        <f t="shared" si="0"/>
        <v/>
      </c>
      <c r="F12" s="4" t="s">
        <v>11</v>
      </c>
      <c r="G12" s="4" t="s">
        <v>11</v>
      </c>
      <c r="H12" s="2">
        <v>0.59441889999999997</v>
      </c>
      <c r="I12" s="3">
        <v>14750000</v>
      </c>
    </row>
    <row r="13" spans="1:9" ht="15.75" customHeight="1" x14ac:dyDescent="0.15">
      <c r="A13" s="4" t="s">
        <v>8</v>
      </c>
      <c r="B13" s="4" t="s">
        <v>9</v>
      </c>
      <c r="C13" s="4">
        <v>60</v>
      </c>
      <c r="D13" s="4" t="s">
        <v>12</v>
      </c>
      <c r="E13" s="4" t="str">
        <f t="shared" si="0"/>
        <v/>
      </c>
      <c r="F13" s="4" t="s">
        <v>11</v>
      </c>
      <c r="G13" s="4" t="s">
        <v>11</v>
      </c>
      <c r="H13" s="2">
        <v>0.58846569999999998</v>
      </c>
      <c r="I13" s="3">
        <v>14010000</v>
      </c>
    </row>
    <row r="14" spans="1:9" ht="15.75" customHeight="1" x14ac:dyDescent="0.15">
      <c r="A14" s="4" t="s">
        <v>8</v>
      </c>
      <c r="B14" s="4" t="s">
        <v>9</v>
      </c>
      <c r="C14" s="4">
        <v>61</v>
      </c>
      <c r="D14" s="4" t="s">
        <v>10</v>
      </c>
      <c r="E14" s="4" t="str">
        <f t="shared" si="0"/>
        <v/>
      </c>
      <c r="F14" s="4" t="s">
        <v>11</v>
      </c>
      <c r="G14" s="4" t="s">
        <v>11</v>
      </c>
      <c r="H14" s="2">
        <v>0.60366540000000002</v>
      </c>
      <c r="I14" s="3">
        <v>14120000</v>
      </c>
    </row>
    <row r="15" spans="1:9" ht="15.75" customHeight="1" x14ac:dyDescent="0.15">
      <c r="A15" s="4" t="s">
        <v>8</v>
      </c>
      <c r="B15" s="4" t="s">
        <v>9</v>
      </c>
      <c r="C15" s="4">
        <v>61</v>
      </c>
      <c r="D15" s="4" t="s">
        <v>12</v>
      </c>
      <c r="E15" s="4" t="str">
        <f t="shared" si="0"/>
        <v/>
      </c>
      <c r="F15" s="4" t="s">
        <v>11</v>
      </c>
      <c r="G15" s="4" t="s">
        <v>11</v>
      </c>
      <c r="H15" s="2">
        <v>0.60305150000000007</v>
      </c>
      <c r="I15" s="3">
        <v>13540000</v>
      </c>
    </row>
    <row r="16" spans="1:9" ht="15.75" customHeight="1" x14ac:dyDescent="0.15">
      <c r="A16" s="4" t="s">
        <v>8</v>
      </c>
      <c r="B16" s="4" t="s">
        <v>9</v>
      </c>
      <c r="C16" s="4">
        <v>62</v>
      </c>
      <c r="D16" s="4" t="s">
        <v>10</v>
      </c>
      <c r="E16" s="4" t="str">
        <f t="shared" si="0"/>
        <v/>
      </c>
      <c r="F16" s="4" t="s">
        <v>11</v>
      </c>
      <c r="G16" s="4" t="s">
        <v>11</v>
      </c>
      <c r="H16" s="2">
        <v>0.61142659999999993</v>
      </c>
      <c r="I16" s="3">
        <v>13520000</v>
      </c>
    </row>
    <row r="17" spans="1:9" ht="15.75" customHeight="1" x14ac:dyDescent="0.15">
      <c r="A17" s="4" t="s">
        <v>8</v>
      </c>
      <c r="B17" s="4" t="s">
        <v>9</v>
      </c>
      <c r="C17" s="4">
        <v>62</v>
      </c>
      <c r="D17" s="4" t="s">
        <v>12</v>
      </c>
      <c r="E17" s="4" t="str">
        <f t="shared" si="0"/>
        <v/>
      </c>
      <c r="F17" s="4" t="s">
        <v>11</v>
      </c>
      <c r="G17" s="4" t="s">
        <v>11</v>
      </c>
      <c r="H17" s="2">
        <v>0.61590719999999999</v>
      </c>
      <c r="I17" s="3">
        <v>13080000</v>
      </c>
    </row>
    <row r="18" spans="1:9" ht="15.75" customHeight="1" x14ac:dyDescent="0.15">
      <c r="A18" s="4" t="s">
        <v>8</v>
      </c>
      <c r="B18" s="4" t="s">
        <v>9</v>
      </c>
      <c r="C18" s="4">
        <v>63</v>
      </c>
      <c r="D18" s="4" t="s">
        <v>10</v>
      </c>
      <c r="E18" s="4" t="str">
        <f t="shared" si="0"/>
        <v/>
      </c>
      <c r="F18" s="4" t="s">
        <v>11</v>
      </c>
      <c r="G18" s="4" t="s">
        <v>11</v>
      </c>
      <c r="H18" s="2">
        <v>0.61754740000000008</v>
      </c>
      <c r="I18" s="3">
        <v>12930000</v>
      </c>
    </row>
    <row r="19" spans="1:9" ht="15.75" customHeight="1" x14ac:dyDescent="0.15">
      <c r="A19" s="4" t="s">
        <v>8</v>
      </c>
      <c r="B19" s="4" t="s">
        <v>9</v>
      </c>
      <c r="C19" s="4">
        <v>63</v>
      </c>
      <c r="D19" s="4" t="s">
        <v>12</v>
      </c>
      <c r="E19" s="4" t="str">
        <f t="shared" si="0"/>
        <v/>
      </c>
      <c r="F19" s="4" t="s">
        <v>11</v>
      </c>
      <c r="G19" s="4" t="s">
        <v>11</v>
      </c>
      <c r="H19" s="2">
        <v>0.62723879999999999</v>
      </c>
      <c r="I19" s="3">
        <v>12620000</v>
      </c>
    </row>
    <row r="20" spans="1:9" ht="15.75" customHeight="1" x14ac:dyDescent="0.15">
      <c r="A20" s="4" t="s">
        <v>8</v>
      </c>
      <c r="B20" s="4" t="s">
        <v>9</v>
      </c>
      <c r="C20" s="4">
        <v>64</v>
      </c>
      <c r="D20" s="4" t="s">
        <v>10</v>
      </c>
      <c r="E20" s="4" t="str">
        <f t="shared" si="0"/>
        <v/>
      </c>
      <c r="F20" s="4" t="s">
        <v>11</v>
      </c>
      <c r="G20" s="4" t="s">
        <v>11</v>
      </c>
      <c r="H20" s="2">
        <v>0.61940070000000003</v>
      </c>
      <c r="I20" s="3">
        <v>12350000</v>
      </c>
    </row>
    <row r="21" spans="1:9" ht="15.75" customHeight="1" x14ac:dyDescent="0.15">
      <c r="A21" s="4" t="s">
        <v>8</v>
      </c>
      <c r="B21" s="4" t="s">
        <v>9</v>
      </c>
      <c r="C21" s="4">
        <v>64</v>
      </c>
      <c r="D21" s="4" t="s">
        <v>12</v>
      </c>
      <c r="E21" s="4" t="str">
        <f t="shared" si="0"/>
        <v/>
      </c>
      <c r="F21" s="4" t="s">
        <v>11</v>
      </c>
      <c r="G21" s="4" t="s">
        <v>11</v>
      </c>
      <c r="H21" s="2">
        <v>0.63300089999999998</v>
      </c>
      <c r="I21" s="3">
        <v>12130000</v>
      </c>
    </row>
    <row r="22" spans="1:9" ht="15.75" customHeight="1" x14ac:dyDescent="0.15">
      <c r="A22" s="4" t="s">
        <v>8</v>
      </c>
      <c r="B22" s="4" t="s">
        <v>9</v>
      </c>
      <c r="C22" s="4">
        <v>65</v>
      </c>
      <c r="D22" s="4" t="s">
        <v>10</v>
      </c>
      <c r="E22" s="4" t="str">
        <f t="shared" si="0"/>
        <v/>
      </c>
      <c r="F22" s="4" t="s">
        <v>11</v>
      </c>
      <c r="G22" s="4" t="s">
        <v>11</v>
      </c>
      <c r="H22" s="2">
        <v>0.60402350000000005</v>
      </c>
      <c r="I22" s="3">
        <v>11450000</v>
      </c>
    </row>
    <row r="23" spans="1:9" ht="15.75" customHeight="1" x14ac:dyDescent="0.15">
      <c r="A23" s="4" t="s">
        <v>8</v>
      </c>
      <c r="B23" s="4" t="s">
        <v>9</v>
      </c>
      <c r="C23" s="4">
        <v>65</v>
      </c>
      <c r="D23" s="4" t="s">
        <v>12</v>
      </c>
      <c r="E23" s="4" t="str">
        <f t="shared" si="0"/>
        <v/>
      </c>
      <c r="F23" s="4" t="s">
        <v>11</v>
      </c>
      <c r="G23" s="4" t="s">
        <v>11</v>
      </c>
      <c r="H23" s="2">
        <v>0.61685309999999993</v>
      </c>
      <c r="I23" s="3">
        <v>11230000</v>
      </c>
    </row>
    <row r="24" spans="1:9" ht="15.75" customHeight="1" x14ac:dyDescent="0.15">
      <c r="A24" s="4" t="s">
        <v>8</v>
      </c>
      <c r="B24" s="4" t="s">
        <v>9</v>
      </c>
      <c r="C24" s="4">
        <v>66</v>
      </c>
      <c r="D24" s="4" t="s">
        <v>10</v>
      </c>
      <c r="E24" s="4" t="str">
        <f t="shared" si="0"/>
        <v/>
      </c>
      <c r="F24" s="4" t="s">
        <v>11</v>
      </c>
      <c r="G24" s="4" t="s">
        <v>11</v>
      </c>
      <c r="H24" s="2">
        <v>0.59949450000000004</v>
      </c>
      <c r="I24" s="3">
        <v>10620000</v>
      </c>
    </row>
    <row r="25" spans="1:9" ht="15.75" customHeight="1" x14ac:dyDescent="0.15">
      <c r="A25" s="4" t="s">
        <v>8</v>
      </c>
      <c r="B25" s="4" t="s">
        <v>9</v>
      </c>
      <c r="C25" s="4">
        <v>66</v>
      </c>
      <c r="D25" s="4" t="s">
        <v>12</v>
      </c>
      <c r="E25" s="4" t="str">
        <f t="shared" si="0"/>
        <v/>
      </c>
      <c r="F25" s="4" t="s">
        <v>11</v>
      </c>
      <c r="G25" s="4" t="s">
        <v>11</v>
      </c>
      <c r="H25" s="2">
        <v>0.61125980000000002</v>
      </c>
      <c r="I25" s="3">
        <v>10400000</v>
      </c>
    </row>
    <row r="26" spans="1:9" ht="15.75" customHeight="1" x14ac:dyDescent="0.15">
      <c r="A26" s="4" t="s">
        <v>8</v>
      </c>
      <c r="B26" s="4" t="s">
        <v>9</v>
      </c>
      <c r="C26" s="4">
        <v>67</v>
      </c>
      <c r="D26" s="4" t="s">
        <v>10</v>
      </c>
      <c r="E26" s="4" t="str">
        <f t="shared" si="0"/>
        <v/>
      </c>
      <c r="F26" s="4" t="s">
        <v>11</v>
      </c>
      <c r="G26" s="4" t="s">
        <v>11</v>
      </c>
      <c r="H26" s="2">
        <v>0.5941128</v>
      </c>
      <c r="I26" s="3">
        <v>9850000</v>
      </c>
    </row>
    <row r="27" spans="1:9" ht="15.75" customHeight="1" x14ac:dyDescent="0.15">
      <c r="A27" s="4" t="s">
        <v>8</v>
      </c>
      <c r="B27" s="4" t="s">
        <v>9</v>
      </c>
      <c r="C27" s="4">
        <v>67</v>
      </c>
      <c r="D27" s="4" t="s">
        <v>12</v>
      </c>
      <c r="E27" s="4" t="str">
        <f t="shared" si="0"/>
        <v/>
      </c>
      <c r="F27" s="4" t="s">
        <v>11</v>
      </c>
      <c r="G27" s="4" t="s">
        <v>11</v>
      </c>
      <c r="H27" s="2">
        <v>0.60436699999999999</v>
      </c>
      <c r="I27" s="3">
        <v>9620000</v>
      </c>
    </row>
    <row r="28" spans="1:9" ht="15.75" customHeight="1" x14ac:dyDescent="0.15">
      <c r="A28" s="4" t="s">
        <v>8</v>
      </c>
      <c r="B28" s="4" t="s">
        <v>9</v>
      </c>
      <c r="C28" s="4">
        <v>68</v>
      </c>
      <c r="D28" s="4" t="s">
        <v>10</v>
      </c>
      <c r="E28" s="4" t="str">
        <f t="shared" si="0"/>
        <v/>
      </c>
      <c r="F28" s="4" t="s">
        <v>11</v>
      </c>
      <c r="G28" s="4" t="s">
        <v>11</v>
      </c>
      <c r="H28" s="2">
        <v>0.58707609999999999</v>
      </c>
      <c r="I28" s="3">
        <v>9140000</v>
      </c>
    </row>
    <row r="29" spans="1:9" ht="15.75" customHeight="1" x14ac:dyDescent="0.15">
      <c r="A29" s="4" t="s">
        <v>8</v>
      </c>
      <c r="B29" s="4" t="s">
        <v>9</v>
      </c>
      <c r="C29" s="4">
        <v>68</v>
      </c>
      <c r="D29" s="4" t="s">
        <v>12</v>
      </c>
      <c r="E29" s="4" t="str">
        <f t="shared" si="0"/>
        <v/>
      </c>
      <c r="F29" s="4" t="s">
        <v>11</v>
      </c>
      <c r="G29" s="4" t="s">
        <v>11</v>
      </c>
      <c r="H29" s="2">
        <v>0.59654190000000007</v>
      </c>
      <c r="I29" s="3">
        <v>8910000</v>
      </c>
    </row>
    <row r="30" spans="1:9" ht="15.75" customHeight="1" x14ac:dyDescent="0.15">
      <c r="A30" s="4" t="s">
        <v>8</v>
      </c>
      <c r="B30" s="4" t="s">
        <v>9</v>
      </c>
      <c r="C30" s="4">
        <v>69</v>
      </c>
      <c r="D30" s="4" t="s">
        <v>10</v>
      </c>
      <c r="E30" s="4" t="str">
        <f t="shared" si="0"/>
        <v/>
      </c>
      <c r="F30" s="4" t="s">
        <v>11</v>
      </c>
      <c r="G30" s="4" t="s">
        <v>11</v>
      </c>
      <c r="H30" s="2">
        <v>0.58034390000000002</v>
      </c>
      <c r="I30" s="3">
        <v>8490000</v>
      </c>
    </row>
    <row r="31" spans="1:9" ht="15.75" customHeight="1" x14ac:dyDescent="0.15">
      <c r="A31" s="4" t="s">
        <v>8</v>
      </c>
      <c r="B31" s="4" t="s">
        <v>9</v>
      </c>
      <c r="C31" s="4">
        <v>69</v>
      </c>
      <c r="D31" s="4" t="s">
        <v>12</v>
      </c>
      <c r="E31" s="4" t="str">
        <f t="shared" si="0"/>
        <v/>
      </c>
      <c r="F31" s="4" t="s">
        <v>11</v>
      </c>
      <c r="G31" s="4" t="s">
        <v>11</v>
      </c>
      <c r="H31" s="2">
        <v>0.58821449999999997</v>
      </c>
      <c r="I31" s="3">
        <v>8250000</v>
      </c>
    </row>
    <row r="32" spans="1:9" ht="15.75" customHeight="1" x14ac:dyDescent="0.15">
      <c r="A32" s="4" t="s">
        <v>8</v>
      </c>
      <c r="B32" s="4" t="s">
        <v>9</v>
      </c>
      <c r="C32" s="4">
        <v>70</v>
      </c>
      <c r="D32" s="4" t="s">
        <v>10</v>
      </c>
      <c r="E32" s="4" t="str">
        <f t="shared" si="0"/>
        <v/>
      </c>
      <c r="F32" s="4" t="s">
        <v>11</v>
      </c>
      <c r="G32" s="4" t="s">
        <v>11</v>
      </c>
      <c r="H32" s="2">
        <v>0.57417129999999994</v>
      </c>
      <c r="I32" s="3">
        <v>7910000</v>
      </c>
    </row>
    <row r="33" spans="1:9" ht="15.75" customHeight="1" x14ac:dyDescent="0.15">
      <c r="A33" s="4" t="s">
        <v>8</v>
      </c>
      <c r="B33" s="4" t="s">
        <v>9</v>
      </c>
      <c r="C33" s="4">
        <v>70</v>
      </c>
      <c r="D33" s="4" t="s">
        <v>12</v>
      </c>
      <c r="E33" s="4" t="str">
        <f t="shared" si="0"/>
        <v/>
      </c>
      <c r="F33" s="4" t="s">
        <v>11</v>
      </c>
      <c r="G33" s="4" t="s">
        <v>11</v>
      </c>
      <c r="H33" s="2">
        <v>0.58172279999999998</v>
      </c>
      <c r="I33" s="3">
        <v>7680000</v>
      </c>
    </row>
    <row r="34" spans="1:9" ht="15.75" customHeight="1" x14ac:dyDescent="0.15">
      <c r="A34" s="4" t="s">
        <v>8</v>
      </c>
      <c r="B34" s="4" t="s">
        <v>9</v>
      </c>
      <c r="C34" s="4">
        <v>71</v>
      </c>
      <c r="D34" s="4" t="s">
        <v>10</v>
      </c>
      <c r="E34" s="4" t="str">
        <f t="shared" si="0"/>
        <v/>
      </c>
      <c r="F34" s="4" t="s">
        <v>11</v>
      </c>
      <c r="G34" s="4" t="s">
        <v>11</v>
      </c>
      <c r="H34" s="2">
        <v>0.57016860000000003</v>
      </c>
      <c r="I34" s="3">
        <v>7420000</v>
      </c>
    </row>
    <row r="35" spans="1:9" ht="15.75" customHeight="1" x14ac:dyDescent="0.15">
      <c r="A35" s="4" t="s">
        <v>8</v>
      </c>
      <c r="B35" s="4" t="s">
        <v>9</v>
      </c>
      <c r="C35" s="4">
        <v>71</v>
      </c>
      <c r="D35" s="4" t="s">
        <v>12</v>
      </c>
      <c r="E35" s="4" t="str">
        <f t="shared" si="0"/>
        <v/>
      </c>
      <c r="F35" s="4" t="s">
        <v>11</v>
      </c>
      <c r="G35" s="4" t="s">
        <v>11</v>
      </c>
      <c r="H35" s="2">
        <v>0.57775939999999992</v>
      </c>
      <c r="I35" s="3">
        <v>7200000</v>
      </c>
    </row>
    <row r="36" spans="1:9" ht="15.75" customHeight="1" x14ac:dyDescent="0.15">
      <c r="A36" s="4" t="s">
        <v>8</v>
      </c>
      <c r="B36" s="4" t="s">
        <v>9</v>
      </c>
      <c r="C36" s="4">
        <v>72</v>
      </c>
      <c r="D36" s="4" t="s">
        <v>10</v>
      </c>
      <c r="E36" s="4" t="str">
        <f t="shared" si="0"/>
        <v/>
      </c>
      <c r="F36" s="4" t="s">
        <v>11</v>
      </c>
      <c r="G36" s="4" t="s">
        <v>11</v>
      </c>
      <c r="H36" s="2">
        <v>0.56393559999999998</v>
      </c>
      <c r="I36" s="3">
        <v>6960000</v>
      </c>
    </row>
    <row r="37" spans="1:9" ht="15.75" customHeight="1" x14ac:dyDescent="0.15">
      <c r="A37" s="4" t="s">
        <v>8</v>
      </c>
      <c r="B37" s="4" t="s">
        <v>9</v>
      </c>
      <c r="C37" s="4">
        <v>72</v>
      </c>
      <c r="D37" s="4" t="s">
        <v>12</v>
      </c>
      <c r="E37" s="4" t="str">
        <f t="shared" si="0"/>
        <v/>
      </c>
      <c r="F37" s="4" t="s">
        <v>11</v>
      </c>
      <c r="G37" s="4" t="s">
        <v>11</v>
      </c>
      <c r="H37" s="2">
        <v>0.57182329999999992</v>
      </c>
      <c r="I37" s="3">
        <v>6760000</v>
      </c>
    </row>
    <row r="38" spans="1:9" ht="15.75" customHeight="1" x14ac:dyDescent="0.15">
      <c r="A38" s="4" t="s">
        <v>8</v>
      </c>
      <c r="B38" s="4" t="s">
        <v>9</v>
      </c>
      <c r="C38" s="4">
        <v>73</v>
      </c>
      <c r="D38" s="4" t="s">
        <v>10</v>
      </c>
      <c r="E38" s="4" t="str">
        <f t="shared" si="0"/>
        <v/>
      </c>
      <c r="F38" s="4" t="s">
        <v>11</v>
      </c>
      <c r="G38" s="4" t="s">
        <v>11</v>
      </c>
      <c r="H38" s="2">
        <v>0.55618239999999997</v>
      </c>
      <c r="I38" s="3">
        <v>6550000</v>
      </c>
    </row>
    <row r="39" spans="1:9" ht="15.75" customHeight="1" x14ac:dyDescent="0.15">
      <c r="A39" s="4" t="s">
        <v>8</v>
      </c>
      <c r="B39" s="4" t="s">
        <v>9</v>
      </c>
      <c r="C39" s="4">
        <v>73</v>
      </c>
      <c r="D39" s="4" t="s">
        <v>12</v>
      </c>
      <c r="E39" s="4" t="str">
        <f t="shared" si="0"/>
        <v/>
      </c>
      <c r="F39" s="4" t="s">
        <v>11</v>
      </c>
      <c r="G39" s="4" t="s">
        <v>11</v>
      </c>
      <c r="H39" s="2">
        <v>0.56323769999999995</v>
      </c>
      <c r="I39" s="3">
        <v>6360000</v>
      </c>
    </row>
    <row r="40" spans="1:9" ht="15.75" customHeight="1" x14ac:dyDescent="0.15">
      <c r="A40" s="4" t="s">
        <v>8</v>
      </c>
      <c r="B40" s="4" t="s">
        <v>9</v>
      </c>
      <c r="C40" s="4">
        <v>74</v>
      </c>
      <c r="D40" s="4" t="s">
        <v>10</v>
      </c>
      <c r="E40" s="4" t="str">
        <f t="shared" si="0"/>
        <v/>
      </c>
      <c r="F40" s="4" t="s">
        <v>11</v>
      </c>
      <c r="G40" s="4" t="s">
        <v>11</v>
      </c>
      <c r="H40" s="2">
        <v>0.54689849999999995</v>
      </c>
      <c r="I40" s="3">
        <v>6170000</v>
      </c>
    </row>
    <row r="41" spans="1:9" ht="15.75" customHeight="1" x14ac:dyDescent="0.15">
      <c r="A41" s="4" t="s">
        <v>8</v>
      </c>
      <c r="B41" s="4" t="s">
        <v>9</v>
      </c>
      <c r="C41" s="4">
        <v>74</v>
      </c>
      <c r="D41" s="4" t="s">
        <v>12</v>
      </c>
      <c r="E41" s="4" t="str">
        <f t="shared" si="0"/>
        <v/>
      </c>
      <c r="F41" s="4" t="s">
        <v>11</v>
      </c>
      <c r="G41" s="4" t="s">
        <v>11</v>
      </c>
      <c r="H41" s="2">
        <v>0.55371839999999994</v>
      </c>
      <c r="I41" s="3">
        <v>5990000</v>
      </c>
    </row>
    <row r="42" spans="1:9" ht="15.75" customHeight="1" x14ac:dyDescent="0.15">
      <c r="A42" s="4" t="s">
        <v>8</v>
      </c>
      <c r="B42" s="4" t="s">
        <v>9</v>
      </c>
      <c r="C42" s="4">
        <v>75</v>
      </c>
      <c r="D42" s="4" t="s">
        <v>10</v>
      </c>
      <c r="E42" s="4" t="str">
        <f t="shared" si="0"/>
        <v/>
      </c>
      <c r="F42" s="4" t="s">
        <v>11</v>
      </c>
      <c r="G42" s="4" t="s">
        <v>11</v>
      </c>
      <c r="H42" s="2">
        <v>0.61811780000000005</v>
      </c>
      <c r="I42" s="3">
        <v>6760000</v>
      </c>
    </row>
    <row r="43" spans="1:9" ht="15.75" customHeight="1" x14ac:dyDescent="0.15">
      <c r="A43" s="4" t="s">
        <v>8</v>
      </c>
      <c r="B43" s="4" t="s">
        <v>9</v>
      </c>
      <c r="C43" s="4">
        <v>75</v>
      </c>
      <c r="D43" s="4" t="s">
        <v>12</v>
      </c>
      <c r="E43" s="4" t="str">
        <f t="shared" si="0"/>
        <v/>
      </c>
      <c r="F43" s="4" t="s">
        <v>11</v>
      </c>
      <c r="G43" s="4" t="s">
        <v>11</v>
      </c>
      <c r="H43" s="2">
        <v>0.61381829999999993</v>
      </c>
      <c r="I43" s="3">
        <v>6420000</v>
      </c>
    </row>
    <row r="44" spans="1:9" ht="15.75" customHeight="1" x14ac:dyDescent="0.15">
      <c r="A44" s="4" t="s">
        <v>8</v>
      </c>
      <c r="B44" s="4" t="s">
        <v>13</v>
      </c>
      <c r="C44" s="4">
        <v>55</v>
      </c>
      <c r="D44" s="4" t="s">
        <v>10</v>
      </c>
      <c r="E44" s="4" t="str">
        <f t="shared" si="0"/>
        <v/>
      </c>
      <c r="F44" s="4" t="s">
        <v>11</v>
      </c>
      <c r="G44" s="4" t="s">
        <v>11</v>
      </c>
      <c r="H44" s="2">
        <v>0.65366210000000002</v>
      </c>
      <c r="I44" s="3">
        <v>20830000</v>
      </c>
    </row>
    <row r="45" spans="1:9" ht="15.75" customHeight="1" x14ac:dyDescent="0.15">
      <c r="A45" s="4" t="s">
        <v>8</v>
      </c>
      <c r="B45" s="4" t="s">
        <v>13</v>
      </c>
      <c r="C45" s="4">
        <v>55</v>
      </c>
      <c r="D45" s="4" t="s">
        <v>12</v>
      </c>
      <c r="E45" s="4" t="str">
        <f t="shared" si="0"/>
        <v/>
      </c>
      <c r="F45" s="4" t="s">
        <v>11</v>
      </c>
      <c r="G45" s="4" t="s">
        <v>11</v>
      </c>
      <c r="H45" s="2">
        <v>0.62798409999999993</v>
      </c>
      <c r="I45" s="3">
        <v>19320000</v>
      </c>
    </row>
    <row r="46" spans="1:9" ht="15.75" customHeight="1" x14ac:dyDescent="0.15">
      <c r="A46" s="4" t="s">
        <v>8</v>
      </c>
      <c r="B46" s="4" t="s">
        <v>13</v>
      </c>
      <c r="C46" s="4">
        <v>56</v>
      </c>
      <c r="D46" s="4" t="s">
        <v>10</v>
      </c>
      <c r="E46" s="4" t="str">
        <f t="shared" si="0"/>
        <v/>
      </c>
      <c r="F46" s="4" t="s">
        <v>11</v>
      </c>
      <c r="G46" s="4" t="s">
        <v>11</v>
      </c>
      <c r="H46" s="2">
        <v>0.65221890000000005</v>
      </c>
      <c r="I46" s="3">
        <v>19600000</v>
      </c>
    </row>
    <row r="47" spans="1:9" ht="15.75" customHeight="1" x14ac:dyDescent="0.15">
      <c r="A47" s="4" t="s">
        <v>8</v>
      </c>
      <c r="B47" s="4" t="s">
        <v>13</v>
      </c>
      <c r="C47" s="4">
        <v>56</v>
      </c>
      <c r="D47" s="4" t="s">
        <v>12</v>
      </c>
      <c r="E47" s="4" t="str">
        <f t="shared" si="0"/>
        <v/>
      </c>
      <c r="F47" s="4" t="s">
        <v>11</v>
      </c>
      <c r="G47" s="4" t="s">
        <v>11</v>
      </c>
      <c r="H47" s="2">
        <v>0.62967149999999994</v>
      </c>
      <c r="I47" s="3">
        <v>18230000</v>
      </c>
    </row>
    <row r="48" spans="1:9" ht="15.75" customHeight="1" x14ac:dyDescent="0.15">
      <c r="A48" s="4" t="s">
        <v>8</v>
      </c>
      <c r="B48" s="4" t="s">
        <v>13</v>
      </c>
      <c r="C48" s="4">
        <v>57</v>
      </c>
      <c r="D48" s="4" t="s">
        <v>10</v>
      </c>
      <c r="E48" s="4" t="str">
        <f t="shared" si="0"/>
        <v/>
      </c>
      <c r="F48" s="4" t="s">
        <v>11</v>
      </c>
      <c r="G48" s="4" t="s">
        <v>11</v>
      </c>
      <c r="H48" s="2">
        <v>0.64879029999999993</v>
      </c>
      <c r="I48" s="3">
        <v>18450000</v>
      </c>
    </row>
    <row r="49" spans="1:9" ht="15.75" customHeight="1" x14ac:dyDescent="0.15">
      <c r="A49" s="4" t="s">
        <v>8</v>
      </c>
      <c r="B49" s="4" t="s">
        <v>13</v>
      </c>
      <c r="C49" s="4">
        <v>57</v>
      </c>
      <c r="D49" s="4" t="s">
        <v>12</v>
      </c>
      <c r="E49" s="4" t="str">
        <f t="shared" si="0"/>
        <v/>
      </c>
      <c r="F49" s="4" t="s">
        <v>11</v>
      </c>
      <c r="G49" s="4" t="s">
        <v>11</v>
      </c>
      <c r="H49" s="2">
        <v>0.62914579999999998</v>
      </c>
      <c r="I49" s="3">
        <v>17220000</v>
      </c>
    </row>
    <row r="50" spans="1:9" ht="15.75" customHeight="1" x14ac:dyDescent="0.15">
      <c r="A50" s="4" t="s">
        <v>8</v>
      </c>
      <c r="B50" s="4" t="s">
        <v>13</v>
      </c>
      <c r="C50" s="4">
        <v>58</v>
      </c>
      <c r="D50" s="4" t="s">
        <v>10</v>
      </c>
      <c r="E50" s="4" t="str">
        <f t="shared" si="0"/>
        <v/>
      </c>
      <c r="F50" s="4" t="s">
        <v>11</v>
      </c>
      <c r="G50" s="4" t="s">
        <v>11</v>
      </c>
      <c r="H50" s="2">
        <v>0.64332980000000006</v>
      </c>
      <c r="I50" s="3">
        <v>17380000</v>
      </c>
    </row>
    <row r="51" spans="1:9" ht="15.75" customHeight="1" x14ac:dyDescent="0.15">
      <c r="A51" s="4" t="s">
        <v>8</v>
      </c>
      <c r="B51" s="4" t="s">
        <v>13</v>
      </c>
      <c r="C51" s="4">
        <v>58</v>
      </c>
      <c r="D51" s="4" t="s">
        <v>12</v>
      </c>
      <c r="E51" s="4" t="str">
        <f t="shared" si="0"/>
        <v/>
      </c>
      <c r="F51" s="4" t="s">
        <v>11</v>
      </c>
      <c r="G51" s="4" t="s">
        <v>11</v>
      </c>
      <c r="H51" s="2">
        <v>0.62616000000000005</v>
      </c>
      <c r="I51" s="3">
        <v>16270000</v>
      </c>
    </row>
    <row r="52" spans="1:9" ht="15.75" customHeight="1" x14ac:dyDescent="0.15">
      <c r="A52" s="4" t="s">
        <v>8</v>
      </c>
      <c r="B52" s="4" t="s">
        <v>13</v>
      </c>
      <c r="C52" s="4">
        <v>59</v>
      </c>
      <c r="D52" s="4" t="s">
        <v>10</v>
      </c>
      <c r="E52" s="4" t="str">
        <f t="shared" si="0"/>
        <v/>
      </c>
      <c r="F52" s="4" t="s">
        <v>11</v>
      </c>
      <c r="G52" s="4" t="s">
        <v>11</v>
      </c>
      <c r="H52" s="2">
        <v>0.63675189999999993</v>
      </c>
      <c r="I52" s="3">
        <v>16360000</v>
      </c>
    </row>
    <row r="53" spans="1:9" ht="15.75" customHeight="1" x14ac:dyDescent="0.15">
      <c r="A53" s="4" t="s">
        <v>8</v>
      </c>
      <c r="B53" s="4" t="s">
        <v>13</v>
      </c>
      <c r="C53" s="4">
        <v>59</v>
      </c>
      <c r="D53" s="4" t="s">
        <v>12</v>
      </c>
      <c r="E53" s="4" t="str">
        <f t="shared" si="0"/>
        <v/>
      </c>
      <c r="F53" s="4" t="s">
        <v>11</v>
      </c>
      <c r="G53" s="4" t="s">
        <v>11</v>
      </c>
      <c r="H53" s="2">
        <v>0.62162980000000001</v>
      </c>
      <c r="I53" s="3">
        <v>15350000</v>
      </c>
    </row>
    <row r="54" spans="1:9" ht="15.75" customHeight="1" x14ac:dyDescent="0.15">
      <c r="A54" s="4" t="s">
        <v>8</v>
      </c>
      <c r="B54" s="4" t="s">
        <v>13</v>
      </c>
      <c r="C54" s="4">
        <v>60</v>
      </c>
      <c r="D54" s="4" t="s">
        <v>10</v>
      </c>
      <c r="E54" s="4" t="str">
        <f t="shared" si="0"/>
        <v/>
      </c>
      <c r="F54" s="4" t="s">
        <v>11</v>
      </c>
      <c r="G54" s="4" t="s">
        <v>11</v>
      </c>
      <c r="H54" s="2">
        <v>0.62971259999999996</v>
      </c>
      <c r="I54" s="3">
        <v>15420000</v>
      </c>
    </row>
    <row r="55" spans="1:9" ht="15.75" customHeight="1" x14ac:dyDescent="0.15">
      <c r="A55" s="4" t="s">
        <v>8</v>
      </c>
      <c r="B55" s="4" t="s">
        <v>13</v>
      </c>
      <c r="C55" s="4">
        <v>60</v>
      </c>
      <c r="D55" s="4" t="s">
        <v>12</v>
      </c>
      <c r="E55" s="4" t="str">
        <f t="shared" si="0"/>
        <v/>
      </c>
      <c r="F55" s="4" t="s">
        <v>11</v>
      </c>
      <c r="G55" s="4" t="s">
        <v>11</v>
      </c>
      <c r="H55" s="2">
        <v>0.61634790000000006</v>
      </c>
      <c r="I55" s="3">
        <v>14500000</v>
      </c>
    </row>
    <row r="56" spans="1:9" ht="15.75" customHeight="1" x14ac:dyDescent="0.15">
      <c r="A56" s="4" t="s">
        <v>8</v>
      </c>
      <c r="B56" s="4" t="s">
        <v>13</v>
      </c>
      <c r="C56" s="4">
        <v>61</v>
      </c>
      <c r="D56" s="4" t="s">
        <v>10</v>
      </c>
      <c r="E56" s="4" t="str">
        <f t="shared" si="0"/>
        <v/>
      </c>
      <c r="F56" s="4" t="s">
        <v>11</v>
      </c>
      <c r="G56" s="4" t="s">
        <v>11</v>
      </c>
      <c r="H56" s="2">
        <v>0.6384379</v>
      </c>
      <c r="I56" s="3">
        <v>14750000</v>
      </c>
    </row>
    <row r="57" spans="1:9" ht="15.75" customHeight="1" x14ac:dyDescent="0.15">
      <c r="A57" s="4" t="s">
        <v>8</v>
      </c>
      <c r="B57" s="4" t="s">
        <v>13</v>
      </c>
      <c r="C57" s="4">
        <v>61</v>
      </c>
      <c r="D57" s="4" t="s">
        <v>12</v>
      </c>
      <c r="E57" s="4" t="str">
        <f t="shared" si="0"/>
        <v/>
      </c>
      <c r="F57" s="4" t="s">
        <v>11</v>
      </c>
      <c r="G57" s="4" t="s">
        <v>11</v>
      </c>
      <c r="H57" s="2">
        <v>0.63079339999999995</v>
      </c>
      <c r="I57" s="3">
        <v>14010000</v>
      </c>
    </row>
    <row r="58" spans="1:9" ht="15.75" customHeight="1" x14ac:dyDescent="0.15">
      <c r="A58" s="4" t="s">
        <v>8</v>
      </c>
      <c r="B58" s="4" t="s">
        <v>13</v>
      </c>
      <c r="C58" s="4">
        <v>62</v>
      </c>
      <c r="D58" s="4" t="s">
        <v>10</v>
      </c>
      <c r="E58" s="4" t="str">
        <f t="shared" si="0"/>
        <v/>
      </c>
      <c r="F58" s="4" t="s">
        <v>11</v>
      </c>
      <c r="G58" s="4" t="s">
        <v>11</v>
      </c>
      <c r="H58" s="2">
        <v>0.64579799999999998</v>
      </c>
      <c r="I58" s="3">
        <v>14120000</v>
      </c>
    </row>
    <row r="59" spans="1:9" ht="15.75" customHeight="1" x14ac:dyDescent="0.15">
      <c r="A59" s="4" t="s">
        <v>8</v>
      </c>
      <c r="B59" s="4" t="s">
        <v>13</v>
      </c>
      <c r="C59" s="4">
        <v>62</v>
      </c>
      <c r="D59" s="4" t="s">
        <v>12</v>
      </c>
      <c r="E59" s="4" t="str">
        <f t="shared" si="0"/>
        <v/>
      </c>
      <c r="F59" s="4" t="s">
        <v>11</v>
      </c>
      <c r="G59" s="4" t="s">
        <v>11</v>
      </c>
      <c r="H59" s="2">
        <v>0.64377649999999997</v>
      </c>
      <c r="I59" s="3">
        <v>13540000</v>
      </c>
    </row>
    <row r="60" spans="1:9" ht="15.75" customHeight="1" x14ac:dyDescent="0.15">
      <c r="A60" s="4" t="s">
        <v>8</v>
      </c>
      <c r="B60" s="4" t="s">
        <v>13</v>
      </c>
      <c r="C60" s="4">
        <v>63</v>
      </c>
      <c r="D60" s="4" t="s">
        <v>10</v>
      </c>
      <c r="E60" s="4" t="str">
        <f t="shared" si="0"/>
        <v/>
      </c>
      <c r="F60" s="4" t="s">
        <v>11</v>
      </c>
      <c r="G60" s="4" t="s">
        <v>11</v>
      </c>
      <c r="H60" s="2">
        <v>0.65272210000000008</v>
      </c>
      <c r="I60" s="3">
        <v>13520000</v>
      </c>
    </row>
    <row r="61" spans="1:9" ht="15.75" customHeight="1" x14ac:dyDescent="0.15">
      <c r="A61" s="4" t="s">
        <v>8</v>
      </c>
      <c r="B61" s="4" t="s">
        <v>13</v>
      </c>
      <c r="C61" s="4">
        <v>63</v>
      </c>
      <c r="D61" s="4" t="s">
        <v>12</v>
      </c>
      <c r="E61" s="4" t="str">
        <f t="shared" si="0"/>
        <v/>
      </c>
      <c r="F61" s="4" t="s">
        <v>11</v>
      </c>
      <c r="G61" s="4" t="s">
        <v>11</v>
      </c>
      <c r="H61" s="2">
        <v>0.65634100000000006</v>
      </c>
      <c r="I61" s="3">
        <v>13080000</v>
      </c>
    </row>
    <row r="62" spans="1:9" ht="15.75" customHeight="1" x14ac:dyDescent="0.15">
      <c r="A62" s="4" t="s">
        <v>8</v>
      </c>
      <c r="B62" s="4" t="s">
        <v>13</v>
      </c>
      <c r="C62" s="4">
        <v>64</v>
      </c>
      <c r="D62" s="4" t="s">
        <v>10</v>
      </c>
      <c r="E62" s="4" t="str">
        <f t="shared" si="0"/>
        <v/>
      </c>
      <c r="F62" s="4" t="s">
        <v>11</v>
      </c>
      <c r="G62" s="4" t="s">
        <v>11</v>
      </c>
      <c r="H62" s="2">
        <v>0.65700409999999998</v>
      </c>
      <c r="I62" s="3">
        <v>12930000</v>
      </c>
    </row>
    <row r="63" spans="1:9" ht="15.75" customHeight="1" x14ac:dyDescent="0.15">
      <c r="A63" s="4" t="s">
        <v>8</v>
      </c>
      <c r="B63" s="4" t="s">
        <v>13</v>
      </c>
      <c r="C63" s="4">
        <v>64</v>
      </c>
      <c r="D63" s="4" t="s">
        <v>12</v>
      </c>
      <c r="E63" s="4" t="str">
        <f t="shared" si="0"/>
        <v/>
      </c>
      <c r="F63" s="4" t="s">
        <v>11</v>
      </c>
      <c r="G63" s="4" t="s">
        <v>11</v>
      </c>
      <c r="H63" s="2">
        <v>0.66607680000000002</v>
      </c>
      <c r="I63" s="3">
        <v>12620000</v>
      </c>
    </row>
    <row r="64" spans="1:9" ht="15.75" customHeight="1" x14ac:dyDescent="0.15">
      <c r="A64" s="4" t="s">
        <v>8</v>
      </c>
      <c r="B64" s="4" t="s">
        <v>13</v>
      </c>
      <c r="C64" s="4">
        <v>65</v>
      </c>
      <c r="D64" s="4" t="s">
        <v>10</v>
      </c>
      <c r="E64" s="4" t="str">
        <f t="shared" si="0"/>
        <v/>
      </c>
      <c r="F64" s="4" t="s">
        <v>11</v>
      </c>
      <c r="G64" s="4" t="s">
        <v>11</v>
      </c>
      <c r="H64" s="2">
        <v>0.66023370000000003</v>
      </c>
      <c r="I64" s="3">
        <v>12350000</v>
      </c>
    </row>
    <row r="65" spans="1:9" ht="15.75" customHeight="1" x14ac:dyDescent="0.15">
      <c r="A65" s="4" t="s">
        <v>8</v>
      </c>
      <c r="B65" s="4" t="s">
        <v>13</v>
      </c>
      <c r="C65" s="4">
        <v>65</v>
      </c>
      <c r="D65" s="4" t="s">
        <v>12</v>
      </c>
      <c r="E65" s="4" t="str">
        <f t="shared" si="0"/>
        <v/>
      </c>
      <c r="F65" s="4" t="s">
        <v>11</v>
      </c>
      <c r="G65" s="4" t="s">
        <v>11</v>
      </c>
      <c r="H65" s="2">
        <v>0.67376029999999998</v>
      </c>
      <c r="I65" s="3">
        <v>12130000</v>
      </c>
    </row>
    <row r="66" spans="1:9" ht="15.75" customHeight="1" x14ac:dyDescent="0.15">
      <c r="A66" s="4" t="s">
        <v>8</v>
      </c>
      <c r="B66" s="4" t="s">
        <v>13</v>
      </c>
      <c r="C66" s="4">
        <v>66</v>
      </c>
      <c r="D66" s="4" t="s">
        <v>10</v>
      </c>
      <c r="E66" s="4" t="str">
        <f t="shared" si="0"/>
        <v/>
      </c>
      <c r="F66" s="4" t="s">
        <v>11</v>
      </c>
      <c r="G66" s="4" t="s">
        <v>11</v>
      </c>
      <c r="H66" s="2">
        <v>0.66556419999999994</v>
      </c>
      <c r="I66" s="3">
        <v>11450000</v>
      </c>
    </row>
    <row r="67" spans="1:9" ht="15.75" customHeight="1" x14ac:dyDescent="0.15">
      <c r="A67" s="4" t="s">
        <v>8</v>
      </c>
      <c r="B67" s="4" t="s">
        <v>13</v>
      </c>
      <c r="C67" s="4">
        <v>66</v>
      </c>
      <c r="D67" s="4" t="s">
        <v>12</v>
      </c>
      <c r="E67" s="4" t="str">
        <f t="shared" si="0"/>
        <v/>
      </c>
      <c r="F67" s="4" t="s">
        <v>11</v>
      </c>
      <c r="G67" s="4" t="s">
        <v>11</v>
      </c>
      <c r="H67" s="2">
        <v>0.67820069999999999</v>
      </c>
      <c r="I67" s="3">
        <v>11230000</v>
      </c>
    </row>
    <row r="68" spans="1:9" ht="15.75" customHeight="1" x14ac:dyDescent="0.15">
      <c r="A68" s="4" t="s">
        <v>8</v>
      </c>
      <c r="B68" s="4" t="s">
        <v>13</v>
      </c>
      <c r="C68" s="4">
        <v>67</v>
      </c>
      <c r="D68" s="4" t="s">
        <v>10</v>
      </c>
      <c r="E68" s="4" t="str">
        <f t="shared" si="0"/>
        <v/>
      </c>
      <c r="F68" s="4" t="s">
        <v>11</v>
      </c>
      <c r="G68" s="4" t="s">
        <v>11</v>
      </c>
      <c r="H68" s="2">
        <v>0.66778019999999993</v>
      </c>
      <c r="I68" s="3">
        <v>10620000</v>
      </c>
    </row>
    <row r="69" spans="1:9" ht="15.75" customHeight="1" x14ac:dyDescent="0.15">
      <c r="A69" s="4" t="s">
        <v>8</v>
      </c>
      <c r="B69" s="4" t="s">
        <v>13</v>
      </c>
      <c r="C69" s="4">
        <v>67</v>
      </c>
      <c r="D69" s="4" t="s">
        <v>12</v>
      </c>
      <c r="E69" s="4" t="str">
        <f t="shared" si="0"/>
        <v/>
      </c>
      <c r="F69" s="4" t="s">
        <v>11</v>
      </c>
      <c r="G69" s="4" t="s">
        <v>11</v>
      </c>
      <c r="H69" s="2">
        <v>0.67986060000000004</v>
      </c>
      <c r="I69" s="3">
        <v>10400000</v>
      </c>
    </row>
    <row r="70" spans="1:9" ht="15.75" customHeight="1" x14ac:dyDescent="0.15">
      <c r="A70" s="4" t="s">
        <v>8</v>
      </c>
      <c r="B70" s="4" t="s">
        <v>13</v>
      </c>
      <c r="C70" s="4">
        <v>68</v>
      </c>
      <c r="D70" s="4" t="s">
        <v>10</v>
      </c>
      <c r="E70" s="4" t="str">
        <f t="shared" si="0"/>
        <v/>
      </c>
      <c r="F70" s="4" t="s">
        <v>11</v>
      </c>
      <c r="G70" s="4" t="s">
        <v>11</v>
      </c>
      <c r="H70" s="2">
        <v>0.66694070000000005</v>
      </c>
      <c r="I70" s="3">
        <v>9850000</v>
      </c>
    </row>
    <row r="71" spans="1:9" ht="15.75" customHeight="1" x14ac:dyDescent="0.15">
      <c r="A71" s="4" t="s">
        <v>8</v>
      </c>
      <c r="B71" s="4" t="s">
        <v>13</v>
      </c>
      <c r="C71" s="4">
        <v>68</v>
      </c>
      <c r="D71" s="4" t="s">
        <v>12</v>
      </c>
      <c r="E71" s="4" t="str">
        <f t="shared" si="0"/>
        <v/>
      </c>
      <c r="F71" s="4" t="s">
        <v>11</v>
      </c>
      <c r="G71" s="4" t="s">
        <v>11</v>
      </c>
      <c r="H71" s="2">
        <v>0.67745319999999998</v>
      </c>
      <c r="I71" s="3">
        <v>9620000</v>
      </c>
    </row>
    <row r="72" spans="1:9" ht="15.75" customHeight="1" x14ac:dyDescent="0.15">
      <c r="A72" s="4" t="s">
        <v>8</v>
      </c>
      <c r="B72" s="4" t="s">
        <v>13</v>
      </c>
      <c r="C72" s="4">
        <v>69</v>
      </c>
      <c r="D72" s="4" t="s">
        <v>10</v>
      </c>
      <c r="E72" s="4" t="str">
        <f t="shared" si="0"/>
        <v/>
      </c>
      <c r="F72" s="4" t="s">
        <v>11</v>
      </c>
      <c r="G72" s="4" t="s">
        <v>11</v>
      </c>
      <c r="H72" s="2">
        <v>0.6642593</v>
      </c>
      <c r="I72" s="3">
        <v>9140000</v>
      </c>
    </row>
    <row r="73" spans="1:9" ht="15.75" customHeight="1" x14ac:dyDescent="0.15">
      <c r="A73" s="4" t="s">
        <v>8</v>
      </c>
      <c r="B73" s="4" t="s">
        <v>13</v>
      </c>
      <c r="C73" s="4">
        <v>69</v>
      </c>
      <c r="D73" s="4" t="s">
        <v>12</v>
      </c>
      <c r="E73" s="4" t="str">
        <f t="shared" si="0"/>
        <v/>
      </c>
      <c r="F73" s="4" t="s">
        <v>11</v>
      </c>
      <c r="G73" s="4" t="s">
        <v>11</v>
      </c>
      <c r="H73" s="2">
        <v>0.67429359999999994</v>
      </c>
      <c r="I73" s="3">
        <v>8910000</v>
      </c>
    </row>
    <row r="74" spans="1:9" ht="15.75" customHeight="1" x14ac:dyDescent="0.15">
      <c r="A74" s="4" t="s">
        <v>8</v>
      </c>
      <c r="B74" s="4" t="s">
        <v>13</v>
      </c>
      <c r="C74" s="4">
        <v>70</v>
      </c>
      <c r="D74" s="4" t="s">
        <v>10</v>
      </c>
      <c r="E74" s="4" t="str">
        <f t="shared" si="0"/>
        <v/>
      </c>
      <c r="F74" s="4" t="s">
        <v>11</v>
      </c>
      <c r="G74" s="4" t="s">
        <v>11</v>
      </c>
      <c r="H74" s="2">
        <v>0.6602962</v>
      </c>
      <c r="I74" s="3">
        <v>8490000</v>
      </c>
    </row>
    <row r="75" spans="1:9" ht="15.75" customHeight="1" x14ac:dyDescent="0.15">
      <c r="A75" s="4" t="s">
        <v>8</v>
      </c>
      <c r="B75" s="4" t="s">
        <v>13</v>
      </c>
      <c r="C75" s="4">
        <v>70</v>
      </c>
      <c r="D75" s="4" t="s">
        <v>12</v>
      </c>
      <c r="E75" s="4" t="str">
        <f t="shared" si="0"/>
        <v/>
      </c>
      <c r="F75" s="4" t="s">
        <v>11</v>
      </c>
      <c r="G75" s="4" t="s">
        <v>11</v>
      </c>
      <c r="H75" s="2">
        <v>0.66860889999999995</v>
      </c>
      <c r="I75" s="3">
        <v>8250000</v>
      </c>
    </row>
    <row r="76" spans="1:9" ht="15.75" customHeight="1" x14ac:dyDescent="0.15">
      <c r="A76" s="4" t="s">
        <v>8</v>
      </c>
      <c r="B76" s="4" t="s">
        <v>13</v>
      </c>
      <c r="C76" s="4">
        <v>71</v>
      </c>
      <c r="D76" s="4" t="s">
        <v>10</v>
      </c>
      <c r="E76" s="4" t="str">
        <f t="shared" si="0"/>
        <v/>
      </c>
      <c r="F76" s="4" t="s">
        <v>11</v>
      </c>
      <c r="G76" s="4" t="s">
        <v>11</v>
      </c>
      <c r="H76" s="2">
        <v>0.6557714</v>
      </c>
      <c r="I76" s="3">
        <v>7910000</v>
      </c>
    </row>
    <row r="77" spans="1:9" ht="15.75" customHeight="1" x14ac:dyDescent="0.15">
      <c r="A77" s="4" t="s">
        <v>8</v>
      </c>
      <c r="B77" s="4" t="s">
        <v>13</v>
      </c>
      <c r="C77" s="4">
        <v>71</v>
      </c>
      <c r="D77" s="4" t="s">
        <v>12</v>
      </c>
      <c r="E77" s="4" t="str">
        <f t="shared" si="0"/>
        <v/>
      </c>
      <c r="F77" s="4" t="s">
        <v>11</v>
      </c>
      <c r="G77" s="4" t="s">
        <v>11</v>
      </c>
      <c r="H77" s="2">
        <v>0.66371380000000002</v>
      </c>
      <c r="I77" s="3">
        <v>7680000</v>
      </c>
    </row>
    <row r="78" spans="1:9" ht="15.75" customHeight="1" x14ac:dyDescent="0.15">
      <c r="A78" s="4" t="s">
        <v>8</v>
      </c>
      <c r="B78" s="4" t="s">
        <v>13</v>
      </c>
      <c r="C78" s="4">
        <v>72</v>
      </c>
      <c r="D78" s="4" t="s">
        <v>10</v>
      </c>
      <c r="E78" s="4" t="str">
        <f t="shared" si="0"/>
        <v/>
      </c>
      <c r="F78" s="4" t="s">
        <v>11</v>
      </c>
      <c r="G78" s="4" t="s">
        <v>11</v>
      </c>
      <c r="H78" s="2">
        <v>0.65181929999999999</v>
      </c>
      <c r="I78" s="3">
        <v>7420000</v>
      </c>
    </row>
    <row r="79" spans="1:9" ht="15.75" customHeight="1" x14ac:dyDescent="0.15">
      <c r="A79" s="4" t="s">
        <v>8</v>
      </c>
      <c r="B79" s="4" t="s">
        <v>13</v>
      </c>
      <c r="C79" s="4">
        <v>72</v>
      </c>
      <c r="D79" s="4" t="s">
        <v>12</v>
      </c>
      <c r="E79" s="4" t="str">
        <f t="shared" si="0"/>
        <v/>
      </c>
      <c r="F79" s="4" t="s">
        <v>11</v>
      </c>
      <c r="G79" s="4" t="s">
        <v>11</v>
      </c>
      <c r="H79" s="2">
        <v>0.65938000000000008</v>
      </c>
      <c r="I79" s="3">
        <v>7200000</v>
      </c>
    </row>
    <row r="80" spans="1:9" ht="15.75" customHeight="1" x14ac:dyDescent="0.15">
      <c r="A80" s="4" t="s">
        <v>8</v>
      </c>
      <c r="B80" s="4" t="s">
        <v>13</v>
      </c>
      <c r="C80" s="4">
        <v>73</v>
      </c>
      <c r="D80" s="4" t="s">
        <v>10</v>
      </c>
      <c r="E80" s="4" t="str">
        <f t="shared" si="0"/>
        <v/>
      </c>
      <c r="F80" s="4" t="s">
        <v>11</v>
      </c>
      <c r="G80" s="4" t="s">
        <v>11</v>
      </c>
      <c r="H80" s="2">
        <v>0.64523459999999999</v>
      </c>
      <c r="I80" s="3">
        <v>6960000</v>
      </c>
    </row>
    <row r="81" spans="1:27" ht="15.75" customHeight="1" x14ac:dyDescent="0.15">
      <c r="A81" s="4" t="s">
        <v>8</v>
      </c>
      <c r="B81" s="4" t="s">
        <v>13</v>
      </c>
      <c r="C81" s="4">
        <v>73</v>
      </c>
      <c r="D81" s="4" t="s">
        <v>12</v>
      </c>
      <c r="E81" s="4" t="str">
        <f t="shared" si="0"/>
        <v/>
      </c>
      <c r="F81" s="4" t="s">
        <v>11</v>
      </c>
      <c r="G81" s="4" t="s">
        <v>11</v>
      </c>
      <c r="H81" s="2">
        <v>0.65284439999999999</v>
      </c>
      <c r="I81" s="3">
        <v>6760000</v>
      </c>
    </row>
    <row r="82" spans="1:27" ht="15.75" customHeight="1" x14ac:dyDescent="0.15">
      <c r="A82" s="4" t="s">
        <v>8</v>
      </c>
      <c r="B82" s="4" t="s">
        <v>13</v>
      </c>
      <c r="C82" s="4">
        <v>74</v>
      </c>
      <c r="D82" s="4" t="s">
        <v>10</v>
      </c>
      <c r="E82" s="4" t="str">
        <f t="shared" si="0"/>
        <v/>
      </c>
      <c r="F82" s="4" t="s">
        <v>11</v>
      </c>
      <c r="G82" s="4" t="s">
        <v>11</v>
      </c>
      <c r="H82" s="2">
        <v>0.63932560000000005</v>
      </c>
      <c r="I82" s="3">
        <v>6550000</v>
      </c>
    </row>
    <row r="83" spans="1:27" ht="15.75" customHeight="1" x14ac:dyDescent="0.15">
      <c r="A83" s="4" t="s">
        <v>8</v>
      </c>
      <c r="B83" s="4" t="s">
        <v>13</v>
      </c>
      <c r="C83" s="4">
        <v>74</v>
      </c>
      <c r="D83" s="4" t="s">
        <v>12</v>
      </c>
      <c r="E83" s="4" t="str">
        <f t="shared" si="0"/>
        <v/>
      </c>
      <c r="F83" s="4" t="s">
        <v>11</v>
      </c>
      <c r="G83" s="4" t="s">
        <v>11</v>
      </c>
      <c r="H83" s="2">
        <v>0.64603820000000001</v>
      </c>
      <c r="I83" s="3">
        <v>6360000</v>
      </c>
    </row>
    <row r="84" spans="1:27" ht="15.75" customHeight="1" x14ac:dyDescent="0.15">
      <c r="A84" s="4" t="s">
        <v>8</v>
      </c>
      <c r="B84" s="4" t="s">
        <v>13</v>
      </c>
      <c r="C84" s="4">
        <v>75</v>
      </c>
      <c r="D84" s="4" t="s">
        <v>10</v>
      </c>
      <c r="E84" s="4" t="str">
        <f t="shared" si="0"/>
        <v/>
      </c>
      <c r="F84" s="4" t="s">
        <v>11</v>
      </c>
      <c r="G84" s="4" t="s">
        <v>11</v>
      </c>
      <c r="H84" s="2">
        <v>0.63254180000000004</v>
      </c>
      <c r="I84" s="3">
        <v>6170000</v>
      </c>
    </row>
    <row r="85" spans="1:27" ht="15.75" customHeight="1" x14ac:dyDescent="0.15">
      <c r="A85" s="4" t="s">
        <v>8</v>
      </c>
      <c r="B85" s="4" t="s">
        <v>13</v>
      </c>
      <c r="C85" s="4">
        <v>75</v>
      </c>
      <c r="D85" s="4" t="s">
        <v>12</v>
      </c>
      <c r="E85" s="4" t="str">
        <f t="shared" si="0"/>
        <v/>
      </c>
      <c r="F85" s="4" t="s">
        <v>11</v>
      </c>
      <c r="G85" s="4" t="s">
        <v>11</v>
      </c>
      <c r="H85" s="2">
        <v>0.63881509999999997</v>
      </c>
      <c r="I85" s="3">
        <v>5990000</v>
      </c>
    </row>
    <row r="86" spans="1:27" ht="13" x14ac:dyDescent="0.15">
      <c r="A86" s="4" t="s">
        <v>14</v>
      </c>
      <c r="B86" s="4" t="s">
        <v>9</v>
      </c>
      <c r="C86" s="4">
        <v>55</v>
      </c>
      <c r="D86" s="4" t="s">
        <v>10</v>
      </c>
      <c r="E86" s="4" t="s">
        <v>13</v>
      </c>
      <c r="F86" s="4">
        <v>55</v>
      </c>
      <c r="G86" s="4" t="s">
        <v>10</v>
      </c>
      <c r="H86" s="2">
        <v>0.67794456382910395</v>
      </c>
      <c r="I86" s="3">
        <v>34200000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3" x14ac:dyDescent="0.15">
      <c r="A87" s="4" t="s">
        <v>14</v>
      </c>
      <c r="B87" s="4" t="s">
        <v>9</v>
      </c>
      <c r="C87" s="4">
        <v>55</v>
      </c>
      <c r="D87" s="4" t="s">
        <v>10</v>
      </c>
      <c r="E87" s="4" t="s">
        <v>13</v>
      </c>
      <c r="F87" s="4">
        <v>55</v>
      </c>
      <c r="G87" s="4" t="s">
        <v>12</v>
      </c>
      <c r="H87" s="2">
        <v>0.66911751246892592</v>
      </c>
      <c r="I87" s="3">
        <v>28700000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3" x14ac:dyDescent="0.15">
      <c r="A88" s="4" t="s">
        <v>14</v>
      </c>
      <c r="B88" s="4" t="s">
        <v>9</v>
      </c>
      <c r="C88" s="4">
        <v>55</v>
      </c>
      <c r="D88" s="4" t="s">
        <v>12</v>
      </c>
      <c r="E88" s="4" t="s">
        <v>13</v>
      </c>
      <c r="F88" s="4">
        <v>55</v>
      </c>
      <c r="G88" s="4" t="s">
        <v>10</v>
      </c>
      <c r="H88" s="2">
        <v>0.67072327717580005</v>
      </c>
      <c r="I88" s="3">
        <v>29100000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3" x14ac:dyDescent="0.15">
      <c r="A89" s="4" t="s">
        <v>14</v>
      </c>
      <c r="B89" s="4" t="s">
        <v>9</v>
      </c>
      <c r="C89" s="4">
        <v>55</v>
      </c>
      <c r="D89" s="4" t="s">
        <v>12</v>
      </c>
      <c r="E89" s="4" t="s">
        <v>13</v>
      </c>
      <c r="F89" s="4">
        <v>55</v>
      </c>
      <c r="G89" s="4" t="s">
        <v>12</v>
      </c>
      <c r="H89" s="2">
        <v>0.66536069025988009</v>
      </c>
      <c r="I89" s="3">
        <v>25800000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3" x14ac:dyDescent="0.15">
      <c r="A90" s="4" t="s">
        <v>14</v>
      </c>
      <c r="B90" s="4" t="s">
        <v>9</v>
      </c>
      <c r="C90" s="4">
        <v>55</v>
      </c>
      <c r="D90" s="4" t="s">
        <v>10</v>
      </c>
      <c r="E90" s="4" t="s">
        <v>13</v>
      </c>
      <c r="F90" s="4">
        <v>60</v>
      </c>
      <c r="G90" s="4" t="s">
        <v>10</v>
      </c>
      <c r="H90" s="2">
        <v>0.67646675366617592</v>
      </c>
      <c r="I90" s="3">
        <v>29200000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3" x14ac:dyDescent="0.15">
      <c r="A91" s="4" t="s">
        <v>14</v>
      </c>
      <c r="B91" s="4" t="s">
        <v>9</v>
      </c>
      <c r="C91" s="4">
        <v>55</v>
      </c>
      <c r="D91" s="4" t="s">
        <v>10</v>
      </c>
      <c r="E91" s="4" t="s">
        <v>13</v>
      </c>
      <c r="F91" s="4">
        <v>60</v>
      </c>
      <c r="G91" s="4" t="s">
        <v>12</v>
      </c>
      <c r="H91" s="2">
        <v>0.66883164297464603</v>
      </c>
      <c r="I91" s="3">
        <v>25600000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3" x14ac:dyDescent="0.15">
      <c r="A92" s="4" t="s">
        <v>14</v>
      </c>
      <c r="B92" s="4" t="s">
        <v>9</v>
      </c>
      <c r="C92" s="4">
        <v>55</v>
      </c>
      <c r="D92" s="4" t="s">
        <v>12</v>
      </c>
      <c r="E92" s="4" t="s">
        <v>13</v>
      </c>
      <c r="F92" s="4">
        <v>60</v>
      </c>
      <c r="G92" s="4" t="s">
        <v>10</v>
      </c>
      <c r="H92" s="2">
        <v>0.66792953051977999</v>
      </c>
      <c r="I92" s="3">
        <v>24900000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3" x14ac:dyDescent="0.15">
      <c r="A93" s="4" t="s">
        <v>14</v>
      </c>
      <c r="B93" s="4" t="s">
        <v>9</v>
      </c>
      <c r="C93" s="4">
        <v>55</v>
      </c>
      <c r="D93" s="4" t="s">
        <v>12</v>
      </c>
      <c r="E93" s="4" t="s">
        <v>13</v>
      </c>
      <c r="F93" s="4">
        <v>60</v>
      </c>
      <c r="G93" s="4" t="s">
        <v>12</v>
      </c>
      <c r="H93" s="2">
        <v>0.66407681144005593</v>
      </c>
      <c r="I93" s="3">
        <v>22300000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3" x14ac:dyDescent="0.15">
      <c r="A94" s="4" t="s">
        <v>14</v>
      </c>
      <c r="B94" s="4" t="s">
        <v>9</v>
      </c>
      <c r="C94" s="4">
        <v>55</v>
      </c>
      <c r="D94" s="4" t="s">
        <v>10</v>
      </c>
      <c r="E94" s="4" t="s">
        <v>13</v>
      </c>
      <c r="F94" s="4">
        <v>65</v>
      </c>
      <c r="G94" s="4" t="s">
        <v>10</v>
      </c>
      <c r="H94" s="2">
        <v>0.67572053408899002</v>
      </c>
      <c r="I94" s="3">
        <v>25300000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3" x14ac:dyDescent="0.15">
      <c r="A95" s="4" t="s">
        <v>14</v>
      </c>
      <c r="B95" s="4" t="s">
        <v>9</v>
      </c>
      <c r="C95" s="4">
        <v>55</v>
      </c>
      <c r="D95" s="4" t="s">
        <v>10</v>
      </c>
      <c r="E95" s="4" t="s">
        <v>13</v>
      </c>
      <c r="F95" s="4">
        <v>65</v>
      </c>
      <c r="G95" s="4" t="s">
        <v>12</v>
      </c>
      <c r="H95" s="2">
        <v>0.66881284597869795</v>
      </c>
      <c r="I95" s="3">
        <v>23600000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3" x14ac:dyDescent="0.15">
      <c r="A96" s="4" t="s">
        <v>14</v>
      </c>
      <c r="B96" s="4" t="s">
        <v>9</v>
      </c>
      <c r="C96" s="4">
        <v>55</v>
      </c>
      <c r="D96" s="4" t="s">
        <v>12</v>
      </c>
      <c r="E96" s="4" t="s">
        <v>13</v>
      </c>
      <c r="F96" s="4">
        <v>65</v>
      </c>
      <c r="G96" s="4" t="s">
        <v>10</v>
      </c>
      <c r="H96" s="2">
        <v>0.66612195291055598</v>
      </c>
      <c r="I96" s="3">
        <v>21300000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3" x14ac:dyDescent="0.15">
      <c r="A97" s="4" t="s">
        <v>14</v>
      </c>
      <c r="B97" s="4" t="s">
        <v>9</v>
      </c>
      <c r="C97" s="4">
        <v>55</v>
      </c>
      <c r="D97" s="4" t="s">
        <v>12</v>
      </c>
      <c r="E97" s="4" t="s">
        <v>13</v>
      </c>
      <c r="F97" s="4">
        <v>65</v>
      </c>
      <c r="G97" s="4" t="s">
        <v>12</v>
      </c>
      <c r="H97" s="2">
        <v>0.66228127381368007</v>
      </c>
      <c r="I97" s="3">
        <v>19800000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3" x14ac:dyDescent="0.15">
      <c r="A98" s="4" t="s">
        <v>14</v>
      </c>
      <c r="B98" s="4" t="s">
        <v>9</v>
      </c>
      <c r="C98" s="4">
        <v>55</v>
      </c>
      <c r="D98" s="4" t="s">
        <v>10</v>
      </c>
      <c r="E98" s="4" t="s">
        <v>13</v>
      </c>
      <c r="F98" s="4">
        <v>70</v>
      </c>
      <c r="G98" s="4" t="s">
        <v>10</v>
      </c>
      <c r="H98" s="2">
        <v>0.67282657678217994</v>
      </c>
      <c r="I98" s="3">
        <v>22800000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3" x14ac:dyDescent="0.15">
      <c r="A99" s="4" t="s">
        <v>14</v>
      </c>
      <c r="B99" s="4" t="s">
        <v>9</v>
      </c>
      <c r="C99" s="4">
        <v>55</v>
      </c>
      <c r="D99" s="4" t="s">
        <v>10</v>
      </c>
      <c r="E99" s="4" t="s">
        <v>13</v>
      </c>
      <c r="F99" s="4">
        <v>70</v>
      </c>
      <c r="G99" s="4" t="s">
        <v>12</v>
      </c>
      <c r="H99" s="2">
        <v>0.66918349387213993</v>
      </c>
      <c r="I99" s="3">
        <v>21700000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3" x14ac:dyDescent="0.15">
      <c r="A100" s="4" t="s">
        <v>14</v>
      </c>
      <c r="B100" s="4" t="s">
        <v>9</v>
      </c>
      <c r="C100" s="4">
        <v>55</v>
      </c>
      <c r="D100" s="4" t="s">
        <v>12</v>
      </c>
      <c r="E100" s="4" t="s">
        <v>13</v>
      </c>
      <c r="F100" s="4">
        <v>70</v>
      </c>
      <c r="G100" s="4" t="s">
        <v>10</v>
      </c>
      <c r="H100" s="2">
        <v>0.66300830038300196</v>
      </c>
      <c r="I100" s="3">
        <v>18700000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3" x14ac:dyDescent="0.15">
      <c r="A101" s="4" t="s">
        <v>14</v>
      </c>
      <c r="B101" s="4" t="s">
        <v>9</v>
      </c>
      <c r="C101" s="4">
        <v>55</v>
      </c>
      <c r="D101" s="4" t="s">
        <v>12</v>
      </c>
      <c r="E101" s="4" t="s">
        <v>13</v>
      </c>
      <c r="F101" s="4">
        <v>70</v>
      </c>
      <c r="G101" s="4" t="s">
        <v>12</v>
      </c>
      <c r="H101" s="2">
        <v>0.66151302950302004</v>
      </c>
      <c r="I101" s="3">
        <v>17800000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3" x14ac:dyDescent="0.15">
      <c r="A102" s="4" t="s">
        <v>14</v>
      </c>
      <c r="B102" s="4" t="s">
        <v>9</v>
      </c>
      <c r="C102" s="4">
        <v>55</v>
      </c>
      <c r="D102" s="4" t="s">
        <v>10</v>
      </c>
      <c r="E102" s="4" t="s">
        <v>13</v>
      </c>
      <c r="F102" s="4">
        <v>75</v>
      </c>
      <c r="G102" s="4" t="s">
        <v>10</v>
      </c>
      <c r="H102" s="2">
        <v>0.6710378659876961</v>
      </c>
      <c r="I102" s="3">
        <v>21100000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3" x14ac:dyDescent="0.15">
      <c r="A103" s="4" t="s">
        <v>14</v>
      </c>
      <c r="B103" s="4" t="s">
        <v>9</v>
      </c>
      <c r="C103" s="4">
        <v>55</v>
      </c>
      <c r="D103" s="4" t="s">
        <v>10</v>
      </c>
      <c r="E103" s="4" t="s">
        <v>13</v>
      </c>
      <c r="F103" s="4">
        <v>75</v>
      </c>
      <c r="G103" s="4" t="s">
        <v>12</v>
      </c>
      <c r="H103" s="2">
        <v>0.66868386186695594</v>
      </c>
      <c r="I103" s="3">
        <v>20600000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3" x14ac:dyDescent="0.15">
      <c r="A104" s="4" t="s">
        <v>14</v>
      </c>
      <c r="B104" s="4" t="s">
        <v>9</v>
      </c>
      <c r="C104" s="4">
        <v>55</v>
      </c>
      <c r="D104" s="4" t="s">
        <v>12</v>
      </c>
      <c r="E104" s="4" t="s">
        <v>13</v>
      </c>
      <c r="F104" s="4">
        <v>75</v>
      </c>
      <c r="G104" s="4" t="s">
        <v>10</v>
      </c>
      <c r="H104" s="2">
        <v>0.66191451698147197</v>
      </c>
      <c r="I104" s="3">
        <v>16600000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3" x14ac:dyDescent="0.15">
      <c r="A105" s="4" t="s">
        <v>14</v>
      </c>
      <c r="B105" s="4" t="s">
        <v>9</v>
      </c>
      <c r="C105" s="4">
        <v>55</v>
      </c>
      <c r="D105" s="4" t="s">
        <v>12</v>
      </c>
      <c r="E105" s="4" t="s">
        <v>13</v>
      </c>
      <c r="F105" s="4">
        <v>75</v>
      </c>
      <c r="G105" s="4" t="s">
        <v>12</v>
      </c>
      <c r="H105" s="2">
        <v>0.661045222523582</v>
      </c>
      <c r="I105" s="3">
        <v>16300000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3" x14ac:dyDescent="0.15">
      <c r="A106" s="4" t="s">
        <v>14</v>
      </c>
      <c r="B106" s="4" t="s">
        <v>9</v>
      </c>
      <c r="C106" s="4">
        <v>55</v>
      </c>
      <c r="D106" s="4" t="s">
        <v>10</v>
      </c>
      <c r="E106" s="4" t="s">
        <v>13</v>
      </c>
      <c r="F106" s="4">
        <v>80</v>
      </c>
      <c r="G106" s="4" t="s">
        <v>10</v>
      </c>
      <c r="H106" s="2">
        <v>0.66891162194096399</v>
      </c>
      <c r="I106" s="3">
        <v>20300000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3" x14ac:dyDescent="0.15">
      <c r="A107" s="4" t="s">
        <v>14</v>
      </c>
      <c r="B107" s="4" t="s">
        <v>9</v>
      </c>
      <c r="C107" s="4">
        <v>55</v>
      </c>
      <c r="D107" s="4" t="s">
        <v>10</v>
      </c>
      <c r="E107" s="4" t="s">
        <v>13</v>
      </c>
      <c r="F107" s="4">
        <v>80</v>
      </c>
      <c r="G107" s="4" t="s">
        <v>12</v>
      </c>
      <c r="H107" s="2">
        <v>0.66634127049343195</v>
      </c>
      <c r="I107" s="3">
        <v>19900000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3" x14ac:dyDescent="0.15">
      <c r="A108" s="4" t="s">
        <v>14</v>
      </c>
      <c r="B108" s="4" t="s">
        <v>9</v>
      </c>
      <c r="C108" s="4">
        <v>55</v>
      </c>
      <c r="D108" s="4" t="s">
        <v>12</v>
      </c>
      <c r="E108" s="4" t="s">
        <v>13</v>
      </c>
      <c r="F108" s="4">
        <v>80</v>
      </c>
      <c r="G108" s="4" t="s">
        <v>10</v>
      </c>
      <c r="H108" s="2">
        <v>0.66008963798573994</v>
      </c>
      <c r="I108" s="3">
        <v>15800000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3" x14ac:dyDescent="0.15">
      <c r="A109" s="4" t="s">
        <v>14</v>
      </c>
      <c r="B109" s="4" t="s">
        <v>9</v>
      </c>
      <c r="C109" s="4">
        <v>55</v>
      </c>
      <c r="D109" s="4" t="s">
        <v>12</v>
      </c>
      <c r="E109" s="4" t="s">
        <v>13</v>
      </c>
      <c r="F109" s="4">
        <v>80</v>
      </c>
      <c r="G109" s="4" t="s">
        <v>12</v>
      </c>
      <c r="H109" s="2">
        <v>0.65832066544698198</v>
      </c>
      <c r="I109" s="3">
        <v>15600000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3" x14ac:dyDescent="0.15">
      <c r="A110" s="4" t="s">
        <v>14</v>
      </c>
      <c r="B110" s="4" t="s">
        <v>9</v>
      </c>
      <c r="C110" s="4">
        <v>60</v>
      </c>
      <c r="D110" s="4" t="s">
        <v>10</v>
      </c>
      <c r="E110" s="4" t="s">
        <v>13</v>
      </c>
      <c r="F110" s="4">
        <v>55</v>
      </c>
      <c r="G110" s="4" t="s">
        <v>10</v>
      </c>
      <c r="H110" s="2">
        <v>0.67412476246048603</v>
      </c>
      <c r="I110" s="3">
        <v>30000000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3" x14ac:dyDescent="0.15">
      <c r="A111" s="4" t="s">
        <v>14</v>
      </c>
      <c r="B111" s="4" t="s">
        <v>9</v>
      </c>
      <c r="C111" s="4">
        <v>60</v>
      </c>
      <c r="D111" s="4" t="s">
        <v>10</v>
      </c>
      <c r="E111" s="4" t="s">
        <v>13</v>
      </c>
      <c r="F111" s="4">
        <v>55</v>
      </c>
      <c r="G111" s="4" t="s">
        <v>12</v>
      </c>
      <c r="H111" s="2">
        <v>0.66641825362716989</v>
      </c>
      <c r="I111" s="3">
        <v>25400000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3" x14ac:dyDescent="0.15">
      <c r="A112" s="4" t="s">
        <v>14</v>
      </c>
      <c r="B112" s="4" t="s">
        <v>9</v>
      </c>
      <c r="C112" s="4">
        <v>60</v>
      </c>
      <c r="D112" s="4" t="s">
        <v>12</v>
      </c>
      <c r="E112" s="4" t="s">
        <v>13</v>
      </c>
      <c r="F112" s="4">
        <v>55</v>
      </c>
      <c r="G112" s="4" t="s">
        <v>10</v>
      </c>
      <c r="H112" s="2">
        <v>0.66887545199369203</v>
      </c>
      <c r="I112" s="3">
        <v>26400000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3" x14ac:dyDescent="0.15">
      <c r="A113" s="4" t="s">
        <v>14</v>
      </c>
      <c r="B113" s="4" t="s">
        <v>9</v>
      </c>
      <c r="C113" s="4">
        <v>60</v>
      </c>
      <c r="D113" s="4" t="s">
        <v>12</v>
      </c>
      <c r="E113" s="4" t="s">
        <v>13</v>
      </c>
      <c r="F113" s="4">
        <v>55</v>
      </c>
      <c r="G113" s="4" t="s">
        <v>12</v>
      </c>
      <c r="H113" s="2">
        <v>0.66389501368018999</v>
      </c>
      <c r="I113" s="3">
        <v>22900000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3" x14ac:dyDescent="0.15">
      <c r="A114" s="4" t="s">
        <v>14</v>
      </c>
      <c r="B114" s="4" t="s">
        <v>9</v>
      </c>
      <c r="C114" s="4">
        <v>60</v>
      </c>
      <c r="D114" s="4" t="s">
        <v>10</v>
      </c>
      <c r="E114" s="4" t="s">
        <v>13</v>
      </c>
      <c r="F114" s="4">
        <v>60</v>
      </c>
      <c r="G114" s="4" t="s">
        <v>10</v>
      </c>
      <c r="H114" s="2">
        <v>0.67670323419735201</v>
      </c>
      <c r="I114" s="3">
        <v>26100000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3" x14ac:dyDescent="0.15">
      <c r="A115" s="4" t="s">
        <v>14</v>
      </c>
      <c r="B115" s="4" t="s">
        <v>9</v>
      </c>
      <c r="C115" s="4">
        <v>60</v>
      </c>
      <c r="D115" s="4" t="s">
        <v>10</v>
      </c>
      <c r="E115" s="4" t="s">
        <v>13</v>
      </c>
      <c r="F115" s="4">
        <v>60</v>
      </c>
      <c r="G115" s="4" t="s">
        <v>12</v>
      </c>
      <c r="H115" s="2">
        <v>0.66888780684330196</v>
      </c>
      <c r="I115" s="3">
        <v>22800000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3" x14ac:dyDescent="0.15">
      <c r="A116" s="4" t="s">
        <v>14</v>
      </c>
      <c r="B116" s="4" t="s">
        <v>9</v>
      </c>
      <c r="C116" s="4">
        <v>60</v>
      </c>
      <c r="D116" s="4" t="s">
        <v>12</v>
      </c>
      <c r="E116" s="4" t="s">
        <v>13</v>
      </c>
      <c r="F116" s="4">
        <v>60</v>
      </c>
      <c r="G116" s="4" t="s">
        <v>10</v>
      </c>
      <c r="H116" s="2">
        <v>0.66927700758240594</v>
      </c>
      <c r="I116" s="3">
        <v>22500000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3" x14ac:dyDescent="0.15">
      <c r="A117" s="4" t="s">
        <v>14</v>
      </c>
      <c r="B117" s="4" t="s">
        <v>9</v>
      </c>
      <c r="C117" s="4">
        <v>60</v>
      </c>
      <c r="D117" s="4" t="s">
        <v>12</v>
      </c>
      <c r="E117" s="4" t="s">
        <v>13</v>
      </c>
      <c r="F117" s="4">
        <v>60</v>
      </c>
      <c r="G117" s="4" t="s">
        <v>12</v>
      </c>
      <c r="H117" s="2">
        <v>0.66434566315354004</v>
      </c>
      <c r="I117" s="3">
        <v>19600000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3" x14ac:dyDescent="0.15">
      <c r="A118" s="4" t="s">
        <v>14</v>
      </c>
      <c r="B118" s="4" t="s">
        <v>9</v>
      </c>
      <c r="C118" s="4">
        <v>60</v>
      </c>
      <c r="D118" s="4" t="s">
        <v>10</v>
      </c>
      <c r="E118" s="4" t="s">
        <v>13</v>
      </c>
      <c r="F118" s="4">
        <v>65</v>
      </c>
      <c r="G118" s="4" t="s">
        <v>10</v>
      </c>
      <c r="H118" s="2">
        <v>0.68105642724890403</v>
      </c>
      <c r="I118" s="3">
        <v>22100000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3" x14ac:dyDescent="0.15">
      <c r="A119" s="4" t="s">
        <v>14</v>
      </c>
      <c r="B119" s="4" t="s">
        <v>9</v>
      </c>
      <c r="C119" s="4">
        <v>60</v>
      </c>
      <c r="D119" s="4" t="s">
        <v>10</v>
      </c>
      <c r="E119" s="4" t="s">
        <v>13</v>
      </c>
      <c r="F119" s="4">
        <v>65</v>
      </c>
      <c r="G119" s="4" t="s">
        <v>12</v>
      </c>
      <c r="H119" s="2">
        <v>0.67462262471660206</v>
      </c>
      <c r="I119" s="3">
        <v>20400000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3" x14ac:dyDescent="0.15">
      <c r="A120" s="4" t="s">
        <v>14</v>
      </c>
      <c r="B120" s="4" t="s">
        <v>9</v>
      </c>
      <c r="C120" s="4">
        <v>60</v>
      </c>
      <c r="D120" s="4" t="s">
        <v>12</v>
      </c>
      <c r="E120" s="4" t="s">
        <v>13</v>
      </c>
      <c r="F120" s="4">
        <v>65</v>
      </c>
      <c r="G120" s="4" t="s">
        <v>10</v>
      </c>
      <c r="H120" s="2">
        <v>0.66970965104124203</v>
      </c>
      <c r="I120" s="3">
        <v>18900000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3" x14ac:dyDescent="0.15">
      <c r="A121" s="4" t="s">
        <v>14</v>
      </c>
      <c r="B121" s="4" t="s">
        <v>9</v>
      </c>
      <c r="C121" s="4">
        <v>60</v>
      </c>
      <c r="D121" s="4" t="s">
        <v>12</v>
      </c>
      <c r="E121" s="4" t="s">
        <v>13</v>
      </c>
      <c r="F121" s="4">
        <v>65</v>
      </c>
      <c r="G121" s="4" t="s">
        <v>12</v>
      </c>
      <c r="H121" s="2">
        <v>0.66369020727068806</v>
      </c>
      <c r="I121" s="3">
        <v>17000000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3" x14ac:dyDescent="0.15">
      <c r="A122" s="4" t="s">
        <v>14</v>
      </c>
      <c r="B122" s="4" t="s">
        <v>9</v>
      </c>
      <c r="C122" s="4">
        <v>60</v>
      </c>
      <c r="D122" s="4" t="s">
        <v>10</v>
      </c>
      <c r="E122" s="4" t="s">
        <v>13</v>
      </c>
      <c r="F122" s="4">
        <v>70</v>
      </c>
      <c r="G122" s="4" t="s">
        <v>10</v>
      </c>
      <c r="H122" s="2">
        <v>0.68118814905313396</v>
      </c>
      <c r="I122" s="3">
        <v>19600000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3" x14ac:dyDescent="0.15">
      <c r="A123" s="4" t="s">
        <v>14</v>
      </c>
      <c r="B123" s="4" t="s">
        <v>9</v>
      </c>
      <c r="C123" s="4">
        <v>60</v>
      </c>
      <c r="D123" s="4" t="s">
        <v>10</v>
      </c>
      <c r="E123" s="4" t="s">
        <v>13</v>
      </c>
      <c r="F123" s="4">
        <v>70</v>
      </c>
      <c r="G123" s="4" t="s">
        <v>12</v>
      </c>
      <c r="H123" s="2">
        <v>0.67900316031635799</v>
      </c>
      <c r="I123" s="3">
        <v>18400000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3" x14ac:dyDescent="0.15">
      <c r="A124" s="4" t="s">
        <v>14</v>
      </c>
      <c r="B124" s="4" t="s">
        <v>9</v>
      </c>
      <c r="C124" s="4">
        <v>60</v>
      </c>
      <c r="D124" s="4" t="s">
        <v>12</v>
      </c>
      <c r="E124" s="4" t="s">
        <v>13</v>
      </c>
      <c r="F124" s="4">
        <v>70</v>
      </c>
      <c r="G124" s="4" t="s">
        <v>10</v>
      </c>
      <c r="H124" s="2">
        <v>0.6698062882567839</v>
      </c>
      <c r="I124" s="3">
        <v>16500000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3" x14ac:dyDescent="0.15">
      <c r="A125" s="4" t="s">
        <v>14</v>
      </c>
      <c r="B125" s="4" t="s">
        <v>9</v>
      </c>
      <c r="C125" s="4">
        <v>60</v>
      </c>
      <c r="D125" s="4" t="s">
        <v>12</v>
      </c>
      <c r="E125" s="4" t="s">
        <v>13</v>
      </c>
      <c r="F125" s="4">
        <v>70</v>
      </c>
      <c r="G125" s="4" t="s">
        <v>12</v>
      </c>
      <c r="H125" s="2">
        <v>0.66574113874509799</v>
      </c>
      <c r="I125" s="3">
        <v>14900000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3" x14ac:dyDescent="0.15">
      <c r="A126" s="4" t="s">
        <v>14</v>
      </c>
      <c r="B126" s="4" t="s">
        <v>9</v>
      </c>
      <c r="C126" s="4">
        <v>60</v>
      </c>
      <c r="D126" s="4" t="s">
        <v>10</v>
      </c>
      <c r="E126" s="4" t="s">
        <v>13</v>
      </c>
      <c r="F126" s="4">
        <v>75</v>
      </c>
      <c r="G126" s="4" t="s">
        <v>10</v>
      </c>
      <c r="H126" s="2">
        <v>0.68182008863050403</v>
      </c>
      <c r="I126" s="3">
        <v>17400000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3" x14ac:dyDescent="0.15">
      <c r="A127" s="4" t="s">
        <v>14</v>
      </c>
      <c r="B127" s="4" t="s">
        <v>9</v>
      </c>
      <c r="C127" s="4">
        <v>60</v>
      </c>
      <c r="D127" s="4" t="s">
        <v>10</v>
      </c>
      <c r="E127" s="4" t="s">
        <v>13</v>
      </c>
      <c r="F127" s="4">
        <v>75</v>
      </c>
      <c r="G127" s="4" t="s">
        <v>12</v>
      </c>
      <c r="H127" s="2">
        <v>0.67609660961093998</v>
      </c>
      <c r="I127" s="3">
        <v>17100000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3" x14ac:dyDescent="0.15">
      <c r="A128" s="4" t="s">
        <v>14</v>
      </c>
      <c r="B128" s="4" t="s">
        <v>9</v>
      </c>
      <c r="C128" s="4">
        <v>60</v>
      </c>
      <c r="D128" s="4" t="s">
        <v>12</v>
      </c>
      <c r="E128" s="4" t="s">
        <v>13</v>
      </c>
      <c r="F128" s="4">
        <v>75</v>
      </c>
      <c r="G128" s="4" t="s">
        <v>10</v>
      </c>
      <c r="H128" s="2">
        <v>0.66653223461957201</v>
      </c>
      <c r="I128" s="3">
        <v>14200000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3" x14ac:dyDescent="0.15">
      <c r="A129" s="4" t="s">
        <v>14</v>
      </c>
      <c r="B129" s="4" t="s">
        <v>9</v>
      </c>
      <c r="C129" s="4">
        <v>60</v>
      </c>
      <c r="D129" s="4" t="s">
        <v>12</v>
      </c>
      <c r="E129" s="4" t="s">
        <v>13</v>
      </c>
      <c r="F129" s="4">
        <v>75</v>
      </c>
      <c r="G129" s="4" t="s">
        <v>12</v>
      </c>
      <c r="H129" s="2">
        <v>0.66435966600031604</v>
      </c>
      <c r="I129" s="3">
        <v>13500000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3" x14ac:dyDescent="0.15">
      <c r="A130" s="4" t="s">
        <v>14</v>
      </c>
      <c r="B130" s="4" t="s">
        <v>9</v>
      </c>
      <c r="C130" s="4">
        <v>60</v>
      </c>
      <c r="D130" s="4" t="s">
        <v>10</v>
      </c>
      <c r="E130" s="4" t="s">
        <v>13</v>
      </c>
      <c r="F130" s="4">
        <v>80</v>
      </c>
      <c r="G130" s="4" t="s">
        <v>10</v>
      </c>
      <c r="H130" s="2">
        <v>0.67598439629613005</v>
      </c>
      <c r="I130" s="3">
        <v>16500000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3" x14ac:dyDescent="0.15">
      <c r="A131" s="4" t="s">
        <v>14</v>
      </c>
      <c r="B131" s="4" t="s">
        <v>9</v>
      </c>
      <c r="C131" s="4">
        <v>60</v>
      </c>
      <c r="D131" s="4" t="s">
        <v>10</v>
      </c>
      <c r="E131" s="4" t="s">
        <v>13</v>
      </c>
      <c r="F131" s="4">
        <v>80</v>
      </c>
      <c r="G131" s="4" t="s">
        <v>12</v>
      </c>
      <c r="H131" s="2">
        <v>0.67403533426052209</v>
      </c>
      <c r="I131" s="3">
        <v>16200000</v>
      </c>
    </row>
    <row r="132" spans="1:27" ht="13" x14ac:dyDescent="0.15">
      <c r="A132" s="4" t="s">
        <v>14</v>
      </c>
      <c r="B132" s="4" t="s">
        <v>9</v>
      </c>
      <c r="C132" s="4">
        <v>60</v>
      </c>
      <c r="D132" s="4" t="s">
        <v>12</v>
      </c>
      <c r="E132" s="4" t="s">
        <v>13</v>
      </c>
      <c r="F132" s="4">
        <v>80</v>
      </c>
      <c r="G132" s="4" t="s">
        <v>10</v>
      </c>
      <c r="H132" s="2">
        <v>0.66400357775754792</v>
      </c>
      <c r="I132" s="3">
        <v>13000000</v>
      </c>
    </row>
    <row r="133" spans="1:27" ht="13" x14ac:dyDescent="0.15">
      <c r="A133" s="4" t="s">
        <v>14</v>
      </c>
      <c r="B133" s="4" t="s">
        <v>9</v>
      </c>
      <c r="C133" s="4">
        <v>60</v>
      </c>
      <c r="D133" s="4" t="s">
        <v>12</v>
      </c>
      <c r="E133" s="4" t="s">
        <v>13</v>
      </c>
      <c r="F133" s="4">
        <v>80</v>
      </c>
      <c r="G133" s="4" t="s">
        <v>12</v>
      </c>
      <c r="H133" s="2">
        <v>0.66363086827321394</v>
      </c>
      <c r="I133" s="3">
        <v>12400000</v>
      </c>
    </row>
    <row r="134" spans="1:27" ht="13" x14ac:dyDescent="0.15">
      <c r="A134" s="4" t="s">
        <v>14</v>
      </c>
      <c r="B134" s="4" t="s">
        <v>9</v>
      </c>
      <c r="C134" s="4">
        <v>65</v>
      </c>
      <c r="D134" s="4" t="s">
        <v>10</v>
      </c>
      <c r="E134" s="4" t="s">
        <v>13</v>
      </c>
      <c r="F134" s="4">
        <v>55</v>
      </c>
      <c r="G134" s="4" t="s">
        <v>10</v>
      </c>
      <c r="H134" s="2">
        <v>0.673044546423478</v>
      </c>
      <c r="I134" s="3">
        <v>27200000</v>
      </c>
    </row>
    <row r="135" spans="1:27" ht="13" x14ac:dyDescent="0.15">
      <c r="A135" s="4" t="s">
        <v>14</v>
      </c>
      <c r="B135" s="4" t="s">
        <v>9</v>
      </c>
      <c r="C135" s="4">
        <v>65</v>
      </c>
      <c r="D135" s="4" t="s">
        <v>10</v>
      </c>
      <c r="E135" s="4" t="s">
        <v>13</v>
      </c>
      <c r="F135" s="4">
        <v>55</v>
      </c>
      <c r="G135" s="4" t="s">
        <v>12</v>
      </c>
      <c r="H135" s="2">
        <v>0.66485120517492202</v>
      </c>
      <c r="I135" s="3">
        <v>23200000</v>
      </c>
    </row>
    <row r="136" spans="1:27" ht="13" x14ac:dyDescent="0.15">
      <c r="A136" s="4" t="s">
        <v>14</v>
      </c>
      <c r="B136" s="4" t="s">
        <v>9</v>
      </c>
      <c r="C136" s="4">
        <v>65</v>
      </c>
      <c r="D136" s="4" t="s">
        <v>12</v>
      </c>
      <c r="E136" s="4" t="s">
        <v>13</v>
      </c>
      <c r="F136" s="4">
        <v>55</v>
      </c>
      <c r="G136" s="4" t="s">
        <v>10</v>
      </c>
      <c r="H136" s="2">
        <v>0.66792353308776398</v>
      </c>
      <c r="I136" s="3">
        <v>24900000</v>
      </c>
    </row>
    <row r="137" spans="1:27" ht="13" x14ac:dyDescent="0.15">
      <c r="A137" s="4" t="s">
        <v>14</v>
      </c>
      <c r="B137" s="4" t="s">
        <v>9</v>
      </c>
      <c r="C137" s="4">
        <v>65</v>
      </c>
      <c r="D137" s="4" t="s">
        <v>12</v>
      </c>
      <c r="E137" s="4" t="s">
        <v>13</v>
      </c>
      <c r="F137" s="4">
        <v>55</v>
      </c>
      <c r="G137" s="4" t="s">
        <v>12</v>
      </c>
      <c r="H137" s="2">
        <v>0.660895223981532</v>
      </c>
      <c r="I137" s="3">
        <v>21300000</v>
      </c>
    </row>
    <row r="138" spans="1:27" ht="13" x14ac:dyDescent="0.15">
      <c r="A138" s="4" t="s">
        <v>14</v>
      </c>
      <c r="B138" s="4" t="s">
        <v>9</v>
      </c>
      <c r="C138" s="4">
        <v>65</v>
      </c>
      <c r="D138" s="4" t="s">
        <v>10</v>
      </c>
      <c r="E138" s="4" t="s">
        <v>13</v>
      </c>
      <c r="F138" s="4">
        <v>60</v>
      </c>
      <c r="G138" s="4" t="s">
        <v>10</v>
      </c>
      <c r="H138" s="2">
        <v>0.67895863585310401</v>
      </c>
      <c r="I138" s="3">
        <v>23000000</v>
      </c>
    </row>
    <row r="139" spans="1:27" ht="13" x14ac:dyDescent="0.15">
      <c r="A139" s="4" t="s">
        <v>14</v>
      </c>
      <c r="B139" s="4" t="s">
        <v>9</v>
      </c>
      <c r="C139" s="4">
        <v>65</v>
      </c>
      <c r="D139" s="4" t="s">
        <v>10</v>
      </c>
      <c r="E139" s="4" t="s">
        <v>13</v>
      </c>
      <c r="F139" s="4">
        <v>60</v>
      </c>
      <c r="G139" s="4" t="s">
        <v>12</v>
      </c>
      <c r="H139" s="2">
        <v>0.67250689205446001</v>
      </c>
      <c r="I139" s="3">
        <v>20000000</v>
      </c>
    </row>
    <row r="140" spans="1:27" ht="13" x14ac:dyDescent="0.15">
      <c r="A140" s="4" t="s">
        <v>14</v>
      </c>
      <c r="B140" s="4" t="s">
        <v>9</v>
      </c>
      <c r="C140" s="4">
        <v>65</v>
      </c>
      <c r="D140" s="4" t="s">
        <v>12</v>
      </c>
      <c r="E140" s="4" t="s">
        <v>13</v>
      </c>
      <c r="F140" s="4">
        <v>60</v>
      </c>
      <c r="G140" s="4" t="s">
        <v>10</v>
      </c>
      <c r="H140" s="2">
        <v>0.67059799358840799</v>
      </c>
      <c r="I140" s="3">
        <v>20900000</v>
      </c>
    </row>
    <row r="141" spans="1:27" ht="13" x14ac:dyDescent="0.15">
      <c r="A141" s="4" t="s">
        <v>14</v>
      </c>
      <c r="B141" s="4" t="s">
        <v>9</v>
      </c>
      <c r="C141" s="4">
        <v>65</v>
      </c>
      <c r="D141" s="4" t="s">
        <v>12</v>
      </c>
      <c r="E141" s="4" t="s">
        <v>13</v>
      </c>
      <c r="F141" s="4">
        <v>60</v>
      </c>
      <c r="G141" s="4" t="s">
        <v>12</v>
      </c>
      <c r="H141" s="2">
        <v>0.66500564347727198</v>
      </c>
      <c r="I141" s="3">
        <v>17700000</v>
      </c>
    </row>
    <row r="142" spans="1:27" ht="13" x14ac:dyDescent="0.15">
      <c r="A142" s="4" t="s">
        <v>14</v>
      </c>
      <c r="B142" s="4" t="s">
        <v>9</v>
      </c>
      <c r="C142" s="4">
        <v>65</v>
      </c>
      <c r="D142" s="4" t="s">
        <v>10</v>
      </c>
      <c r="E142" s="4" t="s">
        <v>13</v>
      </c>
      <c r="F142" s="4">
        <v>65</v>
      </c>
      <c r="G142" s="4" t="s">
        <v>10</v>
      </c>
      <c r="H142" s="2">
        <v>0.68140692493176402</v>
      </c>
      <c r="I142" s="3">
        <v>19000000</v>
      </c>
    </row>
    <row r="143" spans="1:27" ht="13" x14ac:dyDescent="0.15">
      <c r="A143" s="4" t="s">
        <v>14</v>
      </c>
      <c r="B143" s="4" t="s">
        <v>9</v>
      </c>
      <c r="C143" s="4">
        <v>65</v>
      </c>
      <c r="D143" s="4" t="s">
        <v>10</v>
      </c>
      <c r="E143" s="4" t="s">
        <v>13</v>
      </c>
      <c r="F143" s="4">
        <v>65</v>
      </c>
      <c r="G143" s="4" t="s">
        <v>12</v>
      </c>
      <c r="H143" s="2">
        <v>0.67494938074003596</v>
      </c>
      <c r="I143" s="3">
        <v>17000000</v>
      </c>
    </row>
    <row r="144" spans="1:27" ht="13" x14ac:dyDescent="0.15">
      <c r="A144" s="4" t="s">
        <v>14</v>
      </c>
      <c r="B144" s="4" t="s">
        <v>9</v>
      </c>
      <c r="C144" s="4">
        <v>65</v>
      </c>
      <c r="D144" s="4" t="s">
        <v>12</v>
      </c>
      <c r="E144" s="4" t="s">
        <v>13</v>
      </c>
      <c r="F144" s="4">
        <v>65</v>
      </c>
      <c r="G144" s="4" t="s">
        <v>10</v>
      </c>
      <c r="H144" s="2">
        <v>0.67221795931666795</v>
      </c>
      <c r="I144" s="3">
        <v>16800000</v>
      </c>
    </row>
    <row r="145" spans="1:9" ht="13" x14ac:dyDescent="0.15">
      <c r="A145" s="4" t="s">
        <v>14</v>
      </c>
      <c r="B145" s="4" t="s">
        <v>9</v>
      </c>
      <c r="C145" s="4">
        <v>65</v>
      </c>
      <c r="D145" s="4" t="s">
        <v>12</v>
      </c>
      <c r="E145" s="4" t="s">
        <v>13</v>
      </c>
      <c r="F145" s="4">
        <v>65</v>
      </c>
      <c r="G145" s="4" t="s">
        <v>12</v>
      </c>
      <c r="H145" s="2">
        <v>0.66530556326294199</v>
      </c>
      <c r="I145" s="3">
        <v>14500000</v>
      </c>
    </row>
    <row r="146" spans="1:9" ht="13" x14ac:dyDescent="0.15">
      <c r="A146" s="4" t="s">
        <v>14</v>
      </c>
      <c r="B146" s="4" t="s">
        <v>9</v>
      </c>
      <c r="C146" s="4">
        <v>65</v>
      </c>
      <c r="D146" s="4" t="s">
        <v>10</v>
      </c>
      <c r="E146" s="4" t="s">
        <v>13</v>
      </c>
      <c r="F146" s="4">
        <v>70</v>
      </c>
      <c r="G146" s="4" t="s">
        <v>10</v>
      </c>
      <c r="H146" s="2">
        <v>0.68674376533536141</v>
      </c>
      <c r="I146" s="3">
        <v>16300000</v>
      </c>
    </row>
    <row r="147" spans="1:9" ht="13" x14ac:dyDescent="0.15">
      <c r="A147" s="4" t="s">
        <v>14</v>
      </c>
      <c r="B147" s="4" t="s">
        <v>9</v>
      </c>
      <c r="C147" s="4">
        <v>65</v>
      </c>
      <c r="D147" s="4" t="s">
        <v>10</v>
      </c>
      <c r="E147" s="4" t="s">
        <v>13</v>
      </c>
      <c r="F147" s="4">
        <v>70</v>
      </c>
      <c r="G147" s="4" t="s">
        <v>12</v>
      </c>
      <c r="H147" s="2">
        <v>0.67819486652234207</v>
      </c>
      <c r="I147" s="3">
        <v>14600000</v>
      </c>
    </row>
    <row r="148" spans="1:9" ht="13" x14ac:dyDescent="0.15">
      <c r="A148" s="4" t="s">
        <v>14</v>
      </c>
      <c r="B148" s="4" t="s">
        <v>9</v>
      </c>
      <c r="C148" s="4">
        <v>65</v>
      </c>
      <c r="D148" s="4" t="s">
        <v>12</v>
      </c>
      <c r="E148" s="4" t="s">
        <v>13</v>
      </c>
      <c r="F148" s="4">
        <v>70</v>
      </c>
      <c r="G148" s="4" t="s">
        <v>10</v>
      </c>
      <c r="H148" s="2">
        <v>0.67391388933767393</v>
      </c>
      <c r="I148" s="3">
        <v>14100000</v>
      </c>
    </row>
    <row r="149" spans="1:9" ht="13" x14ac:dyDescent="0.15">
      <c r="A149" s="4" t="s">
        <v>14</v>
      </c>
      <c r="B149" s="4" t="s">
        <v>9</v>
      </c>
      <c r="C149" s="4">
        <v>65</v>
      </c>
      <c r="D149" s="4" t="s">
        <v>12</v>
      </c>
      <c r="E149" s="4" t="s">
        <v>13</v>
      </c>
      <c r="F149" s="4">
        <v>70</v>
      </c>
      <c r="G149" s="4" t="s">
        <v>12</v>
      </c>
      <c r="H149" s="2">
        <v>0.66773021247415598</v>
      </c>
      <c r="I149" s="3">
        <v>12100000</v>
      </c>
    </row>
    <row r="150" spans="1:9" ht="13" x14ac:dyDescent="0.15">
      <c r="A150" s="4" t="s">
        <v>14</v>
      </c>
      <c r="B150" s="4" t="s">
        <v>9</v>
      </c>
      <c r="C150" s="4">
        <v>65</v>
      </c>
      <c r="D150" s="4" t="s">
        <v>10</v>
      </c>
      <c r="E150" s="4" t="s">
        <v>13</v>
      </c>
      <c r="F150" s="4">
        <v>75</v>
      </c>
      <c r="G150" s="4" t="s">
        <v>10</v>
      </c>
      <c r="H150" s="2">
        <v>0.69311873060741824</v>
      </c>
      <c r="I150" s="3">
        <v>14300000</v>
      </c>
    </row>
    <row r="151" spans="1:9" ht="13" x14ac:dyDescent="0.15">
      <c r="A151" s="4" t="s">
        <v>14</v>
      </c>
      <c r="B151" s="4" t="s">
        <v>9</v>
      </c>
      <c r="C151" s="4">
        <v>65</v>
      </c>
      <c r="D151" s="4" t="s">
        <v>10</v>
      </c>
      <c r="E151" s="4" t="s">
        <v>13</v>
      </c>
      <c r="F151" s="4">
        <v>75</v>
      </c>
      <c r="G151" s="4" t="s">
        <v>12</v>
      </c>
      <c r="H151" s="2">
        <v>0.68019669376121406</v>
      </c>
      <c r="I151" s="3">
        <v>13400000</v>
      </c>
    </row>
    <row r="152" spans="1:9" ht="13" x14ac:dyDescent="0.15">
      <c r="A152" s="4" t="s">
        <v>14</v>
      </c>
      <c r="B152" s="4" t="s">
        <v>9</v>
      </c>
      <c r="C152" s="4">
        <v>65</v>
      </c>
      <c r="D152" s="4" t="s">
        <v>12</v>
      </c>
      <c r="E152" s="4" t="s">
        <v>13</v>
      </c>
      <c r="F152" s="4">
        <v>75</v>
      </c>
      <c r="G152" s="4" t="s">
        <v>10</v>
      </c>
      <c r="H152" s="2">
        <v>0.67391130452161407</v>
      </c>
      <c r="I152" s="3">
        <v>11900000</v>
      </c>
    </row>
    <row r="153" spans="1:9" ht="13" x14ac:dyDescent="0.15">
      <c r="A153" s="4" t="s">
        <v>14</v>
      </c>
      <c r="B153" s="4" t="s">
        <v>9</v>
      </c>
      <c r="C153" s="4">
        <v>65</v>
      </c>
      <c r="D153" s="4" t="s">
        <v>12</v>
      </c>
      <c r="E153" s="4" t="s">
        <v>13</v>
      </c>
      <c r="F153" s="4">
        <v>75</v>
      </c>
      <c r="G153" s="4" t="s">
        <v>12</v>
      </c>
      <c r="H153" s="2">
        <v>0.66957439561800403</v>
      </c>
      <c r="I153" s="3">
        <v>10700000</v>
      </c>
    </row>
    <row r="154" spans="1:9" ht="13" x14ac:dyDescent="0.15">
      <c r="A154" s="4" t="s">
        <v>14</v>
      </c>
      <c r="B154" s="4" t="s">
        <v>9</v>
      </c>
      <c r="C154" s="4">
        <v>65</v>
      </c>
      <c r="D154" s="4" t="s">
        <v>10</v>
      </c>
      <c r="E154" s="4" t="s">
        <v>13</v>
      </c>
      <c r="F154" s="4">
        <v>80</v>
      </c>
      <c r="G154" s="4" t="s">
        <v>10</v>
      </c>
      <c r="H154" s="2">
        <v>0.68724279641204977</v>
      </c>
      <c r="I154" s="3">
        <v>13100000</v>
      </c>
    </row>
    <row r="155" spans="1:9" ht="13" x14ac:dyDescent="0.15">
      <c r="A155" s="4" t="s">
        <v>14</v>
      </c>
      <c r="B155" s="4" t="s">
        <v>9</v>
      </c>
      <c r="C155" s="4">
        <v>65</v>
      </c>
      <c r="D155" s="4" t="s">
        <v>10</v>
      </c>
      <c r="E155" s="4" t="s">
        <v>13</v>
      </c>
      <c r="F155" s="4">
        <v>80</v>
      </c>
      <c r="G155" s="4" t="s">
        <v>12</v>
      </c>
      <c r="H155" s="2">
        <v>0.67463823185074201</v>
      </c>
      <c r="I155" s="3">
        <v>12400000</v>
      </c>
    </row>
    <row r="156" spans="1:9" ht="13" x14ac:dyDescent="0.15">
      <c r="A156" s="4" t="s">
        <v>14</v>
      </c>
      <c r="B156" s="4" t="s">
        <v>9</v>
      </c>
      <c r="C156" s="4">
        <v>65</v>
      </c>
      <c r="D156" s="4" t="s">
        <v>12</v>
      </c>
      <c r="E156" s="4" t="s">
        <v>13</v>
      </c>
      <c r="F156" s="4">
        <v>80</v>
      </c>
      <c r="G156" s="4" t="s">
        <v>10</v>
      </c>
      <c r="H156" s="2">
        <v>0.67097121383902203</v>
      </c>
      <c r="I156" s="3">
        <v>10700000</v>
      </c>
    </row>
    <row r="157" spans="1:9" ht="13" x14ac:dyDescent="0.15">
      <c r="A157" s="4" t="s">
        <v>14</v>
      </c>
      <c r="B157" s="4" t="s">
        <v>9</v>
      </c>
      <c r="C157" s="4">
        <v>65</v>
      </c>
      <c r="D157" s="4" t="s">
        <v>12</v>
      </c>
      <c r="E157" s="4" t="s">
        <v>13</v>
      </c>
      <c r="F157" s="4">
        <v>80</v>
      </c>
      <c r="G157" s="4" t="s">
        <v>12</v>
      </c>
      <c r="H157" s="2">
        <v>0.66767512215600799</v>
      </c>
      <c r="I157" s="3">
        <v>9700000</v>
      </c>
    </row>
    <row r="158" spans="1:9" ht="13" x14ac:dyDescent="0.15">
      <c r="A158" s="4" t="s">
        <v>14</v>
      </c>
      <c r="B158" s="4" t="s">
        <v>9</v>
      </c>
      <c r="C158" s="4">
        <v>70</v>
      </c>
      <c r="D158" s="4" t="s">
        <v>10</v>
      </c>
      <c r="E158" s="4" t="s">
        <v>13</v>
      </c>
      <c r="F158" s="4">
        <v>55</v>
      </c>
      <c r="G158" s="4" t="s">
        <v>10</v>
      </c>
      <c r="H158" s="2">
        <v>0.67295057827812199</v>
      </c>
      <c r="I158" s="3">
        <v>25200000</v>
      </c>
    </row>
    <row r="159" spans="1:9" ht="13" x14ac:dyDescent="0.15">
      <c r="A159" s="4" t="s">
        <v>14</v>
      </c>
      <c r="B159" s="4" t="s">
        <v>9</v>
      </c>
      <c r="C159" s="4">
        <v>70</v>
      </c>
      <c r="D159" s="4" t="s">
        <v>10</v>
      </c>
      <c r="E159" s="4" t="s">
        <v>13</v>
      </c>
      <c r="F159" s="4">
        <v>55</v>
      </c>
      <c r="G159" s="4" t="s">
        <v>12</v>
      </c>
      <c r="H159" s="2">
        <v>0.66306084568187407</v>
      </c>
      <c r="I159" s="3">
        <v>21100000</v>
      </c>
    </row>
    <row r="160" spans="1:9" ht="13" x14ac:dyDescent="0.15">
      <c r="A160" s="4" t="s">
        <v>14</v>
      </c>
      <c r="B160" s="4" t="s">
        <v>9</v>
      </c>
      <c r="C160" s="4">
        <v>70</v>
      </c>
      <c r="D160" s="4" t="s">
        <v>12</v>
      </c>
      <c r="E160" s="4" t="s">
        <v>13</v>
      </c>
      <c r="F160" s="4">
        <v>55</v>
      </c>
      <c r="G160" s="4" t="s">
        <v>10</v>
      </c>
      <c r="H160" s="2">
        <v>0.66859352351596801</v>
      </c>
      <c r="I160" s="3">
        <v>23500000</v>
      </c>
    </row>
    <row r="161" spans="1:9" ht="13" x14ac:dyDescent="0.15">
      <c r="A161" s="4" t="s">
        <v>14</v>
      </c>
      <c r="B161" s="4" t="s">
        <v>9</v>
      </c>
      <c r="C161" s="4">
        <v>70</v>
      </c>
      <c r="D161" s="4" t="s">
        <v>12</v>
      </c>
      <c r="E161" s="4" t="s">
        <v>13</v>
      </c>
      <c r="F161" s="4">
        <v>55</v>
      </c>
      <c r="G161" s="4" t="s">
        <v>12</v>
      </c>
      <c r="H161" s="2">
        <v>0.65975480888115601</v>
      </c>
      <c r="I161" s="3">
        <v>19800000</v>
      </c>
    </row>
    <row r="162" spans="1:9" ht="13" x14ac:dyDescent="0.15">
      <c r="A162" s="4" t="s">
        <v>14</v>
      </c>
      <c r="B162" s="4" t="s">
        <v>9</v>
      </c>
      <c r="C162" s="4">
        <v>70</v>
      </c>
      <c r="D162" s="4" t="s">
        <v>10</v>
      </c>
      <c r="E162" s="4" t="s">
        <v>13</v>
      </c>
      <c r="F162" s="4">
        <v>60</v>
      </c>
      <c r="G162" s="4" t="s">
        <v>10</v>
      </c>
      <c r="H162" s="2">
        <v>0.68052917000556801</v>
      </c>
      <c r="I162" s="3">
        <v>21100000</v>
      </c>
    </row>
    <row r="163" spans="1:9" ht="13" x14ac:dyDescent="0.15">
      <c r="A163" s="4" t="s">
        <v>14</v>
      </c>
      <c r="B163" s="4" t="s">
        <v>9</v>
      </c>
      <c r="C163" s="4">
        <v>70</v>
      </c>
      <c r="D163" s="4" t="s">
        <v>10</v>
      </c>
      <c r="E163" s="4" t="s">
        <v>13</v>
      </c>
      <c r="F163" s="4">
        <v>60</v>
      </c>
      <c r="G163" s="4" t="s">
        <v>12</v>
      </c>
      <c r="H163" s="2">
        <v>0.67338583577727396</v>
      </c>
      <c r="I163" s="3">
        <v>18000000</v>
      </c>
    </row>
    <row r="164" spans="1:9" ht="13" x14ac:dyDescent="0.15">
      <c r="A164" s="4" t="s">
        <v>14</v>
      </c>
      <c r="B164" s="4" t="s">
        <v>9</v>
      </c>
      <c r="C164" s="4">
        <v>70</v>
      </c>
      <c r="D164" s="4" t="s">
        <v>12</v>
      </c>
      <c r="E164" s="4" t="s">
        <v>13</v>
      </c>
      <c r="F164" s="4">
        <v>60</v>
      </c>
      <c r="G164" s="4" t="s">
        <v>10</v>
      </c>
      <c r="H164" s="2">
        <v>0.67248204880246198</v>
      </c>
      <c r="I164" s="3">
        <v>19700000</v>
      </c>
    </row>
    <row r="165" spans="1:9" ht="13" x14ac:dyDescent="0.15">
      <c r="A165" s="4" t="s">
        <v>14</v>
      </c>
      <c r="B165" s="4" t="s">
        <v>9</v>
      </c>
      <c r="C165" s="4">
        <v>70</v>
      </c>
      <c r="D165" s="4" t="s">
        <v>12</v>
      </c>
      <c r="E165" s="4" t="s">
        <v>13</v>
      </c>
      <c r="F165" s="4">
        <v>60</v>
      </c>
      <c r="G165" s="4" t="s">
        <v>12</v>
      </c>
      <c r="H165" s="2">
        <v>0.66501566406573409</v>
      </c>
      <c r="I165" s="3">
        <v>16200000</v>
      </c>
    </row>
    <row r="166" spans="1:9" ht="13" x14ac:dyDescent="0.15">
      <c r="A166" s="4" t="s">
        <v>14</v>
      </c>
      <c r="B166" s="4" t="s">
        <v>9</v>
      </c>
      <c r="C166" s="4">
        <v>70</v>
      </c>
      <c r="D166" s="4" t="s">
        <v>10</v>
      </c>
      <c r="E166" s="4" t="s">
        <v>13</v>
      </c>
      <c r="F166" s="4">
        <v>65</v>
      </c>
      <c r="G166" s="4" t="s">
        <v>10</v>
      </c>
      <c r="H166" s="2">
        <v>0.68462266217424395</v>
      </c>
      <c r="I166" s="3">
        <v>16800000</v>
      </c>
    </row>
    <row r="167" spans="1:9" ht="13" x14ac:dyDescent="0.15">
      <c r="A167" s="4" t="s">
        <v>14</v>
      </c>
      <c r="B167" s="4" t="s">
        <v>9</v>
      </c>
      <c r="C167" s="4">
        <v>70</v>
      </c>
      <c r="D167" s="4" t="s">
        <v>10</v>
      </c>
      <c r="E167" s="4" t="s">
        <v>13</v>
      </c>
      <c r="F167" s="4">
        <v>65</v>
      </c>
      <c r="G167" s="4" t="s">
        <v>12</v>
      </c>
      <c r="H167" s="2">
        <v>0.67408786944770005</v>
      </c>
      <c r="I167" s="3">
        <v>14500000</v>
      </c>
    </row>
    <row r="168" spans="1:9" ht="13" x14ac:dyDescent="0.15">
      <c r="A168" s="4" t="s">
        <v>14</v>
      </c>
      <c r="B168" s="4" t="s">
        <v>9</v>
      </c>
      <c r="C168" s="4">
        <v>70</v>
      </c>
      <c r="D168" s="4" t="s">
        <v>12</v>
      </c>
      <c r="E168" s="4" t="s">
        <v>13</v>
      </c>
      <c r="F168" s="4">
        <v>65</v>
      </c>
      <c r="G168" s="4" t="s">
        <v>10</v>
      </c>
      <c r="H168" s="2">
        <v>0.67559982946136798</v>
      </c>
      <c r="I168" s="3">
        <v>15200000</v>
      </c>
    </row>
    <row r="169" spans="1:9" ht="13" x14ac:dyDescent="0.15">
      <c r="A169" s="4" t="s">
        <v>14</v>
      </c>
      <c r="B169" s="4" t="s">
        <v>9</v>
      </c>
      <c r="C169" s="4">
        <v>70</v>
      </c>
      <c r="D169" s="4" t="s">
        <v>12</v>
      </c>
      <c r="E169" s="4" t="s">
        <v>13</v>
      </c>
      <c r="F169" s="4">
        <v>65</v>
      </c>
      <c r="G169" s="4" t="s">
        <v>12</v>
      </c>
      <c r="H169" s="2">
        <v>0.66679073428465196</v>
      </c>
      <c r="I169" s="3">
        <v>12600000</v>
      </c>
    </row>
    <row r="170" spans="1:9" ht="13" x14ac:dyDescent="0.15">
      <c r="A170" s="4" t="s">
        <v>14</v>
      </c>
      <c r="B170" s="4" t="s">
        <v>9</v>
      </c>
      <c r="C170" s="4">
        <v>70</v>
      </c>
      <c r="D170" s="4" t="s">
        <v>10</v>
      </c>
      <c r="E170" s="4" t="s">
        <v>13</v>
      </c>
      <c r="F170" s="4">
        <v>70</v>
      </c>
      <c r="G170" s="4" t="s">
        <v>10</v>
      </c>
      <c r="H170" s="2">
        <v>0.68462266217424395</v>
      </c>
      <c r="I170" s="3">
        <v>16800000</v>
      </c>
    </row>
    <row r="171" spans="1:9" ht="13" x14ac:dyDescent="0.15">
      <c r="A171" s="4" t="s">
        <v>14</v>
      </c>
      <c r="B171" s="4" t="s">
        <v>9</v>
      </c>
      <c r="C171" s="4">
        <v>70</v>
      </c>
      <c r="D171" s="4" t="s">
        <v>10</v>
      </c>
      <c r="E171" s="4" t="s">
        <v>13</v>
      </c>
      <c r="F171" s="4">
        <v>70</v>
      </c>
      <c r="G171" s="4" t="s">
        <v>12</v>
      </c>
      <c r="H171" s="2">
        <v>0.68246546718968393</v>
      </c>
      <c r="I171" s="3">
        <v>12600000</v>
      </c>
    </row>
    <row r="172" spans="1:9" ht="13" x14ac:dyDescent="0.15">
      <c r="A172" s="4" t="s">
        <v>14</v>
      </c>
      <c r="B172" s="4" t="s">
        <v>9</v>
      </c>
      <c r="C172" s="4">
        <v>70</v>
      </c>
      <c r="D172" s="4" t="s">
        <v>12</v>
      </c>
      <c r="E172" s="4" t="s">
        <v>13</v>
      </c>
      <c r="F172" s="4">
        <v>70</v>
      </c>
      <c r="G172" s="4" t="s">
        <v>10</v>
      </c>
      <c r="H172" s="2">
        <v>0.68163021219525299</v>
      </c>
      <c r="I172" s="3">
        <v>12800000</v>
      </c>
    </row>
    <row r="173" spans="1:9" ht="13" x14ac:dyDescent="0.15">
      <c r="A173" s="4" t="s">
        <v>14</v>
      </c>
      <c r="B173" s="4" t="s">
        <v>9</v>
      </c>
      <c r="C173" s="4">
        <v>70</v>
      </c>
      <c r="D173" s="4" t="s">
        <v>12</v>
      </c>
      <c r="E173" s="4" t="s">
        <v>13</v>
      </c>
      <c r="F173" s="4">
        <v>70</v>
      </c>
      <c r="G173" s="4" t="s">
        <v>12</v>
      </c>
      <c r="H173" s="2">
        <v>0.67181114310368595</v>
      </c>
      <c r="I173" s="3">
        <v>10400000</v>
      </c>
    </row>
    <row r="174" spans="1:9" ht="13" x14ac:dyDescent="0.15">
      <c r="A174" s="4" t="s">
        <v>14</v>
      </c>
      <c r="B174" s="4" t="s">
        <v>9</v>
      </c>
      <c r="C174" s="4">
        <v>70</v>
      </c>
      <c r="D174" s="4" t="s">
        <v>10</v>
      </c>
      <c r="E174" s="4" t="s">
        <v>13</v>
      </c>
      <c r="F174" s="4">
        <v>75</v>
      </c>
      <c r="G174" s="4" t="s">
        <v>10</v>
      </c>
      <c r="H174" s="2">
        <v>0.69881396160091791</v>
      </c>
      <c r="I174" s="3">
        <v>14900000</v>
      </c>
    </row>
    <row r="175" spans="1:9" ht="13" x14ac:dyDescent="0.15">
      <c r="A175" s="4" t="s">
        <v>14</v>
      </c>
      <c r="B175" s="4" t="s">
        <v>9</v>
      </c>
      <c r="C175" s="4">
        <v>70</v>
      </c>
      <c r="D175" s="4" t="s">
        <v>10</v>
      </c>
      <c r="E175" s="4" t="s">
        <v>13</v>
      </c>
      <c r="F175" s="4">
        <v>75</v>
      </c>
      <c r="G175" s="4" t="s">
        <v>12</v>
      </c>
      <c r="H175" s="2">
        <v>0.68301785592942599</v>
      </c>
      <c r="I175" s="3">
        <v>11300000</v>
      </c>
    </row>
    <row r="176" spans="1:9" ht="13" x14ac:dyDescent="0.15">
      <c r="A176" s="4" t="s">
        <v>14</v>
      </c>
      <c r="B176" s="4" t="s">
        <v>9</v>
      </c>
      <c r="C176" s="4">
        <v>70</v>
      </c>
      <c r="D176" s="4" t="s">
        <v>12</v>
      </c>
      <c r="E176" s="4" t="s">
        <v>13</v>
      </c>
      <c r="F176" s="4">
        <v>75</v>
      </c>
      <c r="G176" s="4" t="s">
        <v>10</v>
      </c>
      <c r="H176" s="2">
        <v>0.68445787249281609</v>
      </c>
      <c r="I176" s="3">
        <v>10400000</v>
      </c>
    </row>
    <row r="177" spans="1:9" ht="13" x14ac:dyDescent="0.15">
      <c r="A177" s="4" t="s">
        <v>14</v>
      </c>
      <c r="B177" s="4" t="s">
        <v>9</v>
      </c>
      <c r="C177" s="4">
        <v>70</v>
      </c>
      <c r="D177" s="4" t="s">
        <v>12</v>
      </c>
      <c r="E177" s="4" t="s">
        <v>13</v>
      </c>
      <c r="F177" s="4">
        <v>75</v>
      </c>
      <c r="G177" s="4" t="s">
        <v>12</v>
      </c>
      <c r="H177" s="2">
        <v>0.67481727569310801</v>
      </c>
      <c r="I177" s="3">
        <v>8900000</v>
      </c>
    </row>
    <row r="178" spans="1:9" ht="13" x14ac:dyDescent="0.15">
      <c r="A178" s="4" t="s">
        <v>14</v>
      </c>
      <c r="B178" s="4" t="s">
        <v>9</v>
      </c>
      <c r="C178" s="4">
        <v>70</v>
      </c>
      <c r="D178" s="4" t="s">
        <v>10</v>
      </c>
      <c r="E178" s="4" t="s">
        <v>13</v>
      </c>
      <c r="F178" s="4">
        <v>80</v>
      </c>
      <c r="G178" s="4" t="s">
        <v>10</v>
      </c>
      <c r="H178" s="2">
        <v>0.71693741570229963</v>
      </c>
      <c r="I178" s="3">
        <v>12500000</v>
      </c>
    </row>
    <row r="179" spans="1:9" ht="13" x14ac:dyDescent="0.15">
      <c r="A179" s="4" t="s">
        <v>14</v>
      </c>
      <c r="B179" s="4" t="s">
        <v>9</v>
      </c>
      <c r="C179" s="4">
        <v>70</v>
      </c>
      <c r="D179" s="4" t="s">
        <v>10</v>
      </c>
      <c r="E179" s="4" t="s">
        <v>13</v>
      </c>
      <c r="F179" s="4">
        <v>80</v>
      </c>
      <c r="G179" s="4" t="s">
        <v>12</v>
      </c>
      <c r="H179" s="2">
        <v>0.67721110707113197</v>
      </c>
      <c r="I179" s="3">
        <v>10000000</v>
      </c>
    </row>
    <row r="180" spans="1:9" ht="13" x14ac:dyDescent="0.15">
      <c r="A180" s="4" t="s">
        <v>14</v>
      </c>
      <c r="B180" s="4" t="s">
        <v>9</v>
      </c>
      <c r="C180" s="4">
        <v>70</v>
      </c>
      <c r="D180" s="4" t="s">
        <v>12</v>
      </c>
      <c r="E180" s="4" t="s">
        <v>13</v>
      </c>
      <c r="F180" s="4">
        <v>80</v>
      </c>
      <c r="G180" s="4" t="s">
        <v>10</v>
      </c>
      <c r="H180" s="2">
        <v>0.67330777213939996</v>
      </c>
      <c r="I180" s="3">
        <v>9100000</v>
      </c>
    </row>
    <row r="181" spans="1:9" ht="13" x14ac:dyDescent="0.15">
      <c r="A181" s="4" t="s">
        <v>14</v>
      </c>
      <c r="B181" s="4" t="s">
        <v>9</v>
      </c>
      <c r="C181" s="4">
        <v>70</v>
      </c>
      <c r="D181" s="4" t="s">
        <v>12</v>
      </c>
      <c r="E181" s="4" t="s">
        <v>13</v>
      </c>
      <c r="F181" s="4">
        <v>80</v>
      </c>
      <c r="G181" s="4" t="s">
        <v>12</v>
      </c>
      <c r="H181" s="2">
        <v>0.672561433070338</v>
      </c>
      <c r="I181" s="3">
        <v>7800000</v>
      </c>
    </row>
    <row r="182" spans="1:9" ht="13" x14ac:dyDescent="0.15">
      <c r="A182" s="4" t="s">
        <v>14</v>
      </c>
      <c r="B182" s="4" t="s">
        <v>9</v>
      </c>
      <c r="C182" s="4">
        <v>75</v>
      </c>
      <c r="D182" s="4" t="s">
        <v>10</v>
      </c>
      <c r="E182" s="4" t="s">
        <v>13</v>
      </c>
      <c r="F182" s="4">
        <v>55</v>
      </c>
      <c r="G182" s="4" t="s">
        <v>10</v>
      </c>
      <c r="H182" s="2">
        <v>0.65604134534049408</v>
      </c>
      <c r="I182" s="3">
        <v>8300000</v>
      </c>
    </row>
    <row r="183" spans="1:9" ht="13" x14ac:dyDescent="0.15">
      <c r="A183" s="4" t="s">
        <v>14</v>
      </c>
      <c r="B183" s="4" t="s">
        <v>9</v>
      </c>
      <c r="C183" s="4">
        <v>75</v>
      </c>
      <c r="D183" s="4" t="s">
        <v>10</v>
      </c>
      <c r="E183" s="4" t="s">
        <v>13</v>
      </c>
      <c r="F183" s="4">
        <v>55</v>
      </c>
      <c r="G183" s="4" t="s">
        <v>12</v>
      </c>
      <c r="H183" s="2">
        <v>0.65921113276908605</v>
      </c>
      <c r="I183" s="3">
        <v>7100000</v>
      </c>
    </row>
    <row r="184" spans="1:9" ht="13" x14ac:dyDescent="0.15">
      <c r="A184" s="4" t="s">
        <v>14</v>
      </c>
      <c r="B184" s="4" t="s">
        <v>9</v>
      </c>
      <c r="C184" s="4">
        <v>75</v>
      </c>
      <c r="D184" s="4" t="s">
        <v>12</v>
      </c>
      <c r="E184" s="4" t="s">
        <v>13</v>
      </c>
      <c r="F184" s="4">
        <v>55</v>
      </c>
      <c r="G184" s="4" t="s">
        <v>10</v>
      </c>
      <c r="H184" s="2">
        <v>0.66810086257629808</v>
      </c>
      <c r="I184" s="3">
        <v>22700000</v>
      </c>
    </row>
    <row r="185" spans="1:9" ht="13" x14ac:dyDescent="0.15">
      <c r="A185" s="4" t="s">
        <v>14</v>
      </c>
      <c r="B185" s="4" t="s">
        <v>9</v>
      </c>
      <c r="C185" s="4">
        <v>75</v>
      </c>
      <c r="D185" s="4" t="s">
        <v>12</v>
      </c>
      <c r="E185" s="4" t="s">
        <v>13</v>
      </c>
      <c r="F185" s="4">
        <v>55</v>
      </c>
      <c r="G185" s="4" t="s">
        <v>12</v>
      </c>
      <c r="H185" s="2">
        <v>0.66552789511916799</v>
      </c>
      <c r="I185" s="3">
        <v>11700000</v>
      </c>
    </row>
    <row r="186" spans="1:9" ht="13" x14ac:dyDescent="0.15">
      <c r="A186" s="4" t="s">
        <v>14</v>
      </c>
      <c r="B186" s="4" t="s">
        <v>9</v>
      </c>
      <c r="C186" s="4">
        <v>75</v>
      </c>
      <c r="D186" s="4" t="s">
        <v>10</v>
      </c>
      <c r="E186" s="4" t="s">
        <v>13</v>
      </c>
      <c r="F186" s="4">
        <v>60</v>
      </c>
      <c r="G186" s="4" t="s">
        <v>10</v>
      </c>
      <c r="H186" s="2">
        <v>0.67022975368377202</v>
      </c>
      <c r="I186" s="3">
        <v>24000000</v>
      </c>
    </row>
    <row r="187" spans="1:9" ht="13" x14ac:dyDescent="0.15">
      <c r="A187" s="4" t="s">
        <v>14</v>
      </c>
      <c r="B187" s="4" t="s">
        <v>9</v>
      </c>
      <c r="C187" s="4">
        <v>75</v>
      </c>
      <c r="D187" s="4" t="s">
        <v>10</v>
      </c>
      <c r="E187" s="4" t="s">
        <v>13</v>
      </c>
      <c r="F187" s="4">
        <v>60</v>
      </c>
      <c r="G187" s="4" t="s">
        <v>12</v>
      </c>
      <c r="H187" s="2">
        <v>0.66108820735573404</v>
      </c>
      <c r="I187" s="3">
        <v>19700000</v>
      </c>
    </row>
    <row r="188" spans="1:9" ht="13" x14ac:dyDescent="0.15">
      <c r="A188" s="4" t="s">
        <v>14</v>
      </c>
      <c r="B188" s="4" t="s">
        <v>9</v>
      </c>
      <c r="C188" s="4">
        <v>75</v>
      </c>
      <c r="D188" s="4" t="s">
        <v>12</v>
      </c>
      <c r="E188" s="4" t="s">
        <v>13</v>
      </c>
      <c r="F188" s="4">
        <v>60</v>
      </c>
      <c r="G188" s="4" t="s">
        <v>10</v>
      </c>
      <c r="H188" s="2">
        <v>0.67243475533199604</v>
      </c>
      <c r="I188" s="3">
        <v>18800000</v>
      </c>
    </row>
    <row r="189" spans="1:9" ht="13" x14ac:dyDescent="0.15">
      <c r="A189" s="4" t="s">
        <v>14</v>
      </c>
      <c r="B189" s="4" t="s">
        <v>9</v>
      </c>
      <c r="C189" s="4">
        <v>75</v>
      </c>
      <c r="D189" s="4" t="s">
        <v>12</v>
      </c>
      <c r="E189" s="4" t="s">
        <v>13</v>
      </c>
      <c r="F189" s="4">
        <v>60</v>
      </c>
      <c r="G189" s="4" t="s">
        <v>12</v>
      </c>
      <c r="H189" s="2">
        <v>0.66198101514541197</v>
      </c>
      <c r="I189" s="3">
        <v>15200000</v>
      </c>
    </row>
    <row r="190" spans="1:9" ht="13" x14ac:dyDescent="0.15">
      <c r="A190" s="4" t="s">
        <v>14</v>
      </c>
      <c r="B190" s="4" t="s">
        <v>9</v>
      </c>
      <c r="C190" s="4">
        <v>75</v>
      </c>
      <c r="D190" s="4" t="s">
        <v>10</v>
      </c>
      <c r="E190" s="4" t="s">
        <v>13</v>
      </c>
      <c r="F190" s="4">
        <v>65</v>
      </c>
      <c r="G190" s="4" t="s">
        <v>10</v>
      </c>
      <c r="H190" s="2">
        <v>0.67919390302427196</v>
      </c>
      <c r="I190" s="3">
        <v>19600000</v>
      </c>
    </row>
    <row r="191" spans="1:9" ht="13" x14ac:dyDescent="0.15">
      <c r="A191" s="4" t="s">
        <v>14</v>
      </c>
      <c r="B191" s="4" t="s">
        <v>9</v>
      </c>
      <c r="C191" s="4">
        <v>75</v>
      </c>
      <c r="D191" s="4" t="s">
        <v>10</v>
      </c>
      <c r="E191" s="4" t="s">
        <v>13</v>
      </c>
      <c r="F191" s="4">
        <v>65</v>
      </c>
      <c r="G191" s="4" t="s">
        <v>12</v>
      </c>
      <c r="H191" s="2">
        <v>0.66862226157730398</v>
      </c>
      <c r="I191" s="3">
        <v>16200000</v>
      </c>
    </row>
    <row r="192" spans="1:9" ht="13" x14ac:dyDescent="0.15">
      <c r="A192" s="4" t="s">
        <v>14</v>
      </c>
      <c r="B192" s="4" t="s">
        <v>9</v>
      </c>
      <c r="C192" s="4">
        <v>75</v>
      </c>
      <c r="D192" s="4" t="s">
        <v>12</v>
      </c>
      <c r="E192" s="4" t="s">
        <v>13</v>
      </c>
      <c r="F192" s="4">
        <v>65</v>
      </c>
      <c r="G192" s="4" t="s">
        <v>10</v>
      </c>
      <c r="H192" s="2">
        <v>0.67685111497221806</v>
      </c>
      <c r="I192" s="3">
        <v>14600000</v>
      </c>
    </row>
    <row r="193" spans="1:9" ht="13" x14ac:dyDescent="0.15">
      <c r="A193" s="4" t="s">
        <v>14</v>
      </c>
      <c r="B193" s="4" t="s">
        <v>9</v>
      </c>
      <c r="C193" s="4">
        <v>75</v>
      </c>
      <c r="D193" s="4" t="s">
        <v>12</v>
      </c>
      <c r="E193" s="4" t="s">
        <v>13</v>
      </c>
      <c r="F193" s="4">
        <v>65</v>
      </c>
      <c r="G193" s="4" t="s">
        <v>12</v>
      </c>
      <c r="H193" s="2">
        <v>0.66552789511916799</v>
      </c>
      <c r="I193" s="3">
        <v>11700000</v>
      </c>
    </row>
    <row r="194" spans="1:9" ht="13" x14ac:dyDescent="0.15">
      <c r="A194" s="4" t="s">
        <v>14</v>
      </c>
      <c r="B194" s="4" t="s">
        <v>9</v>
      </c>
      <c r="C194" s="4">
        <v>75</v>
      </c>
      <c r="D194" s="4" t="s">
        <v>10</v>
      </c>
      <c r="E194" s="4" t="s">
        <v>13</v>
      </c>
      <c r="F194" s="4">
        <v>70</v>
      </c>
      <c r="G194" s="4" t="s">
        <v>10</v>
      </c>
      <c r="H194" s="2">
        <v>0.69343039974070209</v>
      </c>
      <c r="I194" s="3">
        <v>15500000</v>
      </c>
    </row>
    <row r="195" spans="1:9" ht="13" x14ac:dyDescent="0.15">
      <c r="A195" s="4" t="s">
        <v>14</v>
      </c>
      <c r="B195" s="4" t="s">
        <v>9</v>
      </c>
      <c r="C195" s="4">
        <v>75</v>
      </c>
      <c r="D195" s="4" t="s">
        <v>10</v>
      </c>
      <c r="E195" s="4" t="s">
        <v>13</v>
      </c>
      <c r="F195" s="4">
        <v>70</v>
      </c>
      <c r="G195" s="4" t="s">
        <v>12</v>
      </c>
      <c r="H195" s="2">
        <v>0.672498073334028</v>
      </c>
      <c r="I195" s="3">
        <v>12900000</v>
      </c>
    </row>
    <row r="196" spans="1:9" ht="13" x14ac:dyDescent="0.15">
      <c r="A196" s="4" t="s">
        <v>14</v>
      </c>
      <c r="B196" s="4" t="s">
        <v>9</v>
      </c>
      <c r="C196" s="4">
        <v>75</v>
      </c>
      <c r="D196" s="4" t="s">
        <v>12</v>
      </c>
      <c r="E196" s="4" t="s">
        <v>13</v>
      </c>
      <c r="F196" s="4">
        <v>70</v>
      </c>
      <c r="G196" s="4" t="s">
        <v>10</v>
      </c>
      <c r="H196" s="2">
        <v>0.68796817347494577</v>
      </c>
      <c r="I196" s="3">
        <v>12300000</v>
      </c>
    </row>
    <row r="197" spans="1:9" ht="13" x14ac:dyDescent="0.15">
      <c r="A197" s="4" t="s">
        <v>14</v>
      </c>
      <c r="B197" s="4" t="s">
        <v>9</v>
      </c>
      <c r="C197" s="4">
        <v>75</v>
      </c>
      <c r="D197" s="4" t="s">
        <v>12</v>
      </c>
      <c r="E197" s="4" t="s">
        <v>13</v>
      </c>
      <c r="F197" s="4">
        <v>70</v>
      </c>
      <c r="G197" s="4" t="s">
        <v>12</v>
      </c>
      <c r="H197" s="2">
        <v>0.67018045995999798</v>
      </c>
      <c r="I197" s="3">
        <v>9500000</v>
      </c>
    </row>
    <row r="198" spans="1:9" ht="13" x14ac:dyDescent="0.15">
      <c r="A198" s="4" t="s">
        <v>14</v>
      </c>
      <c r="B198" s="4" t="s">
        <v>9</v>
      </c>
      <c r="C198" s="4">
        <v>75</v>
      </c>
      <c r="D198" s="4" t="s">
        <v>10</v>
      </c>
      <c r="E198" s="4" t="s">
        <v>13</v>
      </c>
      <c r="F198" s="4">
        <v>75</v>
      </c>
      <c r="G198" s="4" t="s">
        <v>10</v>
      </c>
      <c r="H198" s="2">
        <v>0.71764044805890159</v>
      </c>
      <c r="I198" s="3">
        <v>13200000</v>
      </c>
    </row>
    <row r="199" spans="1:9" ht="13" x14ac:dyDescent="0.15">
      <c r="A199" s="4" t="s">
        <v>14</v>
      </c>
      <c r="B199" s="4" t="s">
        <v>9</v>
      </c>
      <c r="C199" s="4">
        <v>75</v>
      </c>
      <c r="D199" s="4" t="s">
        <v>10</v>
      </c>
      <c r="E199" s="4" t="s">
        <v>13</v>
      </c>
      <c r="F199" s="4">
        <v>75</v>
      </c>
      <c r="G199" s="4" t="s">
        <v>12</v>
      </c>
      <c r="H199" s="2">
        <v>0.676794605624912</v>
      </c>
      <c r="I199" s="3">
        <v>10700000</v>
      </c>
    </row>
    <row r="200" spans="1:9" ht="13" x14ac:dyDescent="0.15">
      <c r="A200" s="4" t="s">
        <v>14</v>
      </c>
      <c r="B200" s="4" t="s">
        <v>9</v>
      </c>
      <c r="C200" s="4">
        <v>75</v>
      </c>
      <c r="D200" s="4" t="s">
        <v>12</v>
      </c>
      <c r="E200" s="4" t="s">
        <v>13</v>
      </c>
      <c r="F200" s="4">
        <v>75</v>
      </c>
      <c r="G200" s="4" t="s">
        <v>10</v>
      </c>
      <c r="H200" s="2">
        <v>0.67458787275210996</v>
      </c>
      <c r="I200" s="3">
        <v>9100000</v>
      </c>
    </row>
    <row r="201" spans="1:9" ht="13" x14ac:dyDescent="0.15">
      <c r="A201" s="4" t="s">
        <v>14</v>
      </c>
      <c r="B201" s="4" t="s">
        <v>9</v>
      </c>
      <c r="C201" s="4">
        <v>75</v>
      </c>
      <c r="D201" s="4" t="s">
        <v>12</v>
      </c>
      <c r="E201" s="4" t="s">
        <v>13</v>
      </c>
      <c r="F201" s="4">
        <v>75</v>
      </c>
      <c r="G201" s="4" t="s">
        <v>12</v>
      </c>
      <c r="H201" s="2">
        <v>0.67296872234585003</v>
      </c>
      <c r="I201" s="3">
        <v>7600000</v>
      </c>
    </row>
    <row r="202" spans="1:9" ht="13" x14ac:dyDescent="0.15">
      <c r="A202" s="4" t="s">
        <v>14</v>
      </c>
      <c r="B202" s="4" t="s">
        <v>9</v>
      </c>
      <c r="C202" s="4">
        <v>75</v>
      </c>
      <c r="D202" s="4" t="s">
        <v>10</v>
      </c>
      <c r="E202" s="4" t="s">
        <v>13</v>
      </c>
      <c r="F202" s="4">
        <v>80</v>
      </c>
      <c r="G202" s="4" t="s">
        <v>10</v>
      </c>
      <c r="H202" s="2">
        <v>0.69084981331092599</v>
      </c>
      <c r="I202" s="3">
        <v>10000000</v>
      </c>
    </row>
    <row r="203" spans="1:9" ht="13" x14ac:dyDescent="0.15">
      <c r="A203" s="4" t="s">
        <v>14</v>
      </c>
      <c r="B203" s="4" t="s">
        <v>9</v>
      </c>
      <c r="C203" s="4">
        <v>75</v>
      </c>
      <c r="D203" s="4" t="s">
        <v>10</v>
      </c>
      <c r="E203" s="4" t="s">
        <v>13</v>
      </c>
      <c r="F203" s="4">
        <v>80</v>
      </c>
      <c r="G203" s="4" t="s">
        <v>12</v>
      </c>
      <c r="H203" s="2">
        <v>0.675442972184504</v>
      </c>
      <c r="I203" s="3">
        <v>8600000</v>
      </c>
    </row>
    <row r="204" spans="1:9" ht="13" x14ac:dyDescent="0.15">
      <c r="A204" s="4" t="s">
        <v>14</v>
      </c>
      <c r="B204" s="4" t="s">
        <v>9</v>
      </c>
      <c r="C204" s="4">
        <v>75</v>
      </c>
      <c r="D204" s="4" t="s">
        <v>12</v>
      </c>
      <c r="E204" s="4" t="s">
        <v>13</v>
      </c>
      <c r="F204" s="4">
        <v>80</v>
      </c>
      <c r="G204" s="4" t="s">
        <v>10</v>
      </c>
      <c r="H204" s="2">
        <v>0.65302878166258793</v>
      </c>
      <c r="I204" s="3">
        <v>7500000</v>
      </c>
    </row>
    <row r="205" spans="1:9" ht="13" x14ac:dyDescent="0.15">
      <c r="A205" s="4" t="s">
        <v>14</v>
      </c>
      <c r="B205" s="4" t="s">
        <v>9</v>
      </c>
      <c r="C205" s="4">
        <v>75</v>
      </c>
      <c r="D205" s="4" t="s">
        <v>12</v>
      </c>
      <c r="E205" s="4" t="s">
        <v>13</v>
      </c>
      <c r="F205" s="4">
        <v>80</v>
      </c>
      <c r="G205" s="4" t="s">
        <v>12</v>
      </c>
      <c r="H205" s="2">
        <v>0.66354507649164995</v>
      </c>
      <c r="I205" s="3">
        <v>6300000</v>
      </c>
    </row>
    <row r="206" spans="1:9" ht="13" x14ac:dyDescent="0.15">
      <c r="A206" s="4" t="s">
        <v>14</v>
      </c>
      <c r="B206" s="4" t="s">
        <v>9</v>
      </c>
      <c r="C206" s="4">
        <v>80</v>
      </c>
      <c r="D206" s="4" t="s">
        <v>10</v>
      </c>
      <c r="E206" s="4" t="s">
        <v>13</v>
      </c>
      <c r="F206" s="4">
        <v>55</v>
      </c>
      <c r="G206" s="4" t="s">
        <v>10</v>
      </c>
      <c r="H206" s="2">
        <v>0.63229919474863006</v>
      </c>
      <c r="I206" s="3">
        <v>7300000</v>
      </c>
    </row>
    <row r="207" spans="1:9" ht="13" x14ac:dyDescent="0.15">
      <c r="A207" s="4" t="s">
        <v>14</v>
      </c>
      <c r="B207" s="4" t="s">
        <v>9</v>
      </c>
      <c r="C207" s="4">
        <v>80</v>
      </c>
      <c r="D207" s="4" t="s">
        <v>10</v>
      </c>
      <c r="E207" s="4" t="s">
        <v>13</v>
      </c>
      <c r="F207" s="4">
        <v>55</v>
      </c>
      <c r="G207" s="4" t="s">
        <v>12</v>
      </c>
      <c r="H207" s="2">
        <v>0.65000338153359594</v>
      </c>
      <c r="I207" s="3">
        <v>5900000</v>
      </c>
    </row>
    <row r="208" spans="1:9" ht="13" x14ac:dyDescent="0.15">
      <c r="A208" s="4" t="s">
        <v>14</v>
      </c>
      <c r="B208" s="4" t="s">
        <v>9</v>
      </c>
      <c r="C208" s="4">
        <v>80</v>
      </c>
      <c r="D208" s="4" t="s">
        <v>12</v>
      </c>
      <c r="E208" s="4" t="s">
        <v>13</v>
      </c>
      <c r="F208" s="4">
        <v>55</v>
      </c>
      <c r="G208" s="4" t="s">
        <v>10</v>
      </c>
      <c r="H208" s="2">
        <v>0.66672441740573407</v>
      </c>
      <c r="I208" s="3">
        <v>22200000</v>
      </c>
    </row>
    <row r="209" spans="1:9" ht="13" x14ac:dyDescent="0.15">
      <c r="A209" s="4" t="s">
        <v>14</v>
      </c>
      <c r="B209" s="4" t="s">
        <v>9</v>
      </c>
      <c r="C209" s="4">
        <v>80</v>
      </c>
      <c r="D209" s="4" t="s">
        <v>12</v>
      </c>
      <c r="E209" s="4" t="s">
        <v>13</v>
      </c>
      <c r="F209" s="4">
        <v>55</v>
      </c>
      <c r="G209" s="4" t="s">
        <v>12</v>
      </c>
      <c r="H209" s="2">
        <v>0.65790101999254003</v>
      </c>
      <c r="I209" s="3">
        <v>18300000</v>
      </c>
    </row>
    <row r="210" spans="1:9" ht="13" x14ac:dyDescent="0.15">
      <c r="A210" s="4" t="s">
        <v>14</v>
      </c>
      <c r="B210" s="4" t="s">
        <v>9</v>
      </c>
      <c r="C210" s="4">
        <v>80</v>
      </c>
      <c r="D210" s="4" t="s">
        <v>10</v>
      </c>
      <c r="E210" s="4" t="s">
        <v>13</v>
      </c>
      <c r="F210" s="4">
        <v>60</v>
      </c>
      <c r="G210" s="4" t="s">
        <v>10</v>
      </c>
      <c r="H210" s="2">
        <v>0.66833100780091792</v>
      </c>
      <c r="I210" s="3">
        <v>23400000</v>
      </c>
    </row>
    <row r="211" spans="1:9" ht="13" x14ac:dyDescent="0.15">
      <c r="A211" s="4" t="s">
        <v>14</v>
      </c>
      <c r="B211" s="4" t="s">
        <v>9</v>
      </c>
      <c r="C211" s="4">
        <v>80</v>
      </c>
      <c r="D211" s="4" t="s">
        <v>10</v>
      </c>
      <c r="E211" s="4" t="s">
        <v>13</v>
      </c>
      <c r="F211" s="4">
        <v>60</v>
      </c>
      <c r="G211" s="4" t="s">
        <v>12</v>
      </c>
      <c r="H211" s="2">
        <v>0.65756105290779399</v>
      </c>
      <c r="I211" s="3">
        <v>19200000</v>
      </c>
    </row>
    <row r="212" spans="1:9" ht="13" x14ac:dyDescent="0.15">
      <c r="A212" s="4" t="s">
        <v>14</v>
      </c>
      <c r="B212" s="4" t="s">
        <v>9</v>
      </c>
      <c r="C212" s="4">
        <v>80</v>
      </c>
      <c r="D212" s="4" t="s">
        <v>12</v>
      </c>
      <c r="E212" s="4" t="s">
        <v>13</v>
      </c>
      <c r="F212" s="4">
        <v>60</v>
      </c>
      <c r="G212" s="4" t="s">
        <v>10</v>
      </c>
      <c r="H212" s="2">
        <v>0.66775915813113795</v>
      </c>
      <c r="I212" s="3">
        <v>18300000</v>
      </c>
    </row>
    <row r="213" spans="1:9" ht="13" x14ac:dyDescent="0.15">
      <c r="A213" s="4" t="s">
        <v>14</v>
      </c>
      <c r="B213" s="4" t="s">
        <v>9</v>
      </c>
      <c r="C213" s="4">
        <v>80</v>
      </c>
      <c r="D213" s="4" t="s">
        <v>12</v>
      </c>
      <c r="E213" s="4" t="s">
        <v>13</v>
      </c>
      <c r="F213" s="4">
        <v>60</v>
      </c>
      <c r="G213" s="4" t="s">
        <v>12</v>
      </c>
      <c r="H213" s="2">
        <v>0.65935469340688402</v>
      </c>
      <c r="I213" s="3">
        <v>14500000</v>
      </c>
    </row>
    <row r="214" spans="1:9" ht="13" x14ac:dyDescent="0.15">
      <c r="A214" s="4" t="s">
        <v>14</v>
      </c>
      <c r="B214" s="4" t="s">
        <v>9</v>
      </c>
      <c r="C214" s="4">
        <v>80</v>
      </c>
      <c r="D214" s="4" t="s">
        <v>10</v>
      </c>
      <c r="E214" s="4" t="s">
        <v>13</v>
      </c>
      <c r="F214" s="4">
        <v>65</v>
      </c>
      <c r="G214" s="4" t="s">
        <v>10</v>
      </c>
      <c r="H214" s="2">
        <v>0.67283980696161205</v>
      </c>
      <c r="I214" s="3">
        <v>19000000</v>
      </c>
    </row>
    <row r="215" spans="1:9" ht="13" x14ac:dyDescent="0.15">
      <c r="A215" s="4" t="s">
        <v>14</v>
      </c>
      <c r="B215" s="4" t="s">
        <v>9</v>
      </c>
      <c r="C215" s="4">
        <v>80</v>
      </c>
      <c r="D215" s="4" t="s">
        <v>10</v>
      </c>
      <c r="E215" s="4" t="s">
        <v>13</v>
      </c>
      <c r="F215" s="4">
        <v>65</v>
      </c>
      <c r="G215" s="4" t="s">
        <v>12</v>
      </c>
      <c r="H215" s="2">
        <v>0.66406893224213204</v>
      </c>
      <c r="I215" s="3">
        <v>15400000</v>
      </c>
    </row>
    <row r="216" spans="1:9" ht="13" x14ac:dyDescent="0.15">
      <c r="A216" s="4" t="s">
        <v>14</v>
      </c>
      <c r="B216" s="4" t="s">
        <v>9</v>
      </c>
      <c r="C216" s="4">
        <v>80</v>
      </c>
      <c r="D216" s="4" t="s">
        <v>12</v>
      </c>
      <c r="E216" s="4" t="s">
        <v>13</v>
      </c>
      <c r="F216" s="4">
        <v>65</v>
      </c>
      <c r="G216" s="4" t="s">
        <v>10</v>
      </c>
      <c r="H216" s="2">
        <v>0.67203099799848198</v>
      </c>
      <c r="I216" s="3">
        <v>13900000</v>
      </c>
    </row>
    <row r="217" spans="1:9" ht="13" x14ac:dyDescent="0.15">
      <c r="A217" s="4" t="s">
        <v>14</v>
      </c>
      <c r="B217" s="4" t="s">
        <v>9</v>
      </c>
      <c r="C217" s="4">
        <v>80</v>
      </c>
      <c r="D217" s="4" t="s">
        <v>12</v>
      </c>
      <c r="E217" s="4" t="s">
        <v>13</v>
      </c>
      <c r="F217" s="4">
        <v>65</v>
      </c>
      <c r="G217" s="4" t="s">
        <v>12</v>
      </c>
      <c r="H217" s="2">
        <v>0.66387759869821195</v>
      </c>
      <c r="I217" s="3">
        <v>10900000</v>
      </c>
    </row>
    <row r="218" spans="1:9" ht="13" x14ac:dyDescent="0.15">
      <c r="A218" s="4" t="s">
        <v>14</v>
      </c>
      <c r="B218" s="4" t="s">
        <v>9</v>
      </c>
      <c r="C218" s="4">
        <v>80</v>
      </c>
      <c r="D218" s="4" t="s">
        <v>10</v>
      </c>
      <c r="E218" s="4" t="s">
        <v>13</v>
      </c>
      <c r="F218" s="4">
        <v>70</v>
      </c>
      <c r="G218" s="4" t="s">
        <v>10</v>
      </c>
      <c r="H218" s="2">
        <v>0.68393058970303966</v>
      </c>
      <c r="I218" s="3">
        <v>14700000</v>
      </c>
    </row>
    <row r="219" spans="1:9" ht="13" x14ac:dyDescent="0.15">
      <c r="A219" s="4" t="s">
        <v>14</v>
      </c>
      <c r="B219" s="4" t="s">
        <v>9</v>
      </c>
      <c r="C219" s="4">
        <v>80</v>
      </c>
      <c r="D219" s="4" t="s">
        <v>10</v>
      </c>
      <c r="E219" s="4" t="s">
        <v>13</v>
      </c>
      <c r="F219" s="4">
        <v>70</v>
      </c>
      <c r="G219" s="4" t="s">
        <v>12</v>
      </c>
      <c r="H219" s="2">
        <v>0.66812641925386795</v>
      </c>
      <c r="I219" s="3">
        <v>11900000</v>
      </c>
    </row>
    <row r="220" spans="1:9" ht="13" x14ac:dyDescent="0.15">
      <c r="A220" s="4" t="s">
        <v>14</v>
      </c>
      <c r="B220" s="4" t="s">
        <v>9</v>
      </c>
      <c r="C220" s="4">
        <v>80</v>
      </c>
      <c r="D220" s="4" t="s">
        <v>12</v>
      </c>
      <c r="E220" s="4" t="s">
        <v>13</v>
      </c>
      <c r="F220" s="4">
        <v>70</v>
      </c>
      <c r="G220" s="4" t="s">
        <v>10</v>
      </c>
      <c r="H220" s="2">
        <v>0.67929080555624199</v>
      </c>
      <c r="I220" s="3">
        <v>11400000</v>
      </c>
    </row>
    <row r="221" spans="1:9" ht="13" x14ac:dyDescent="0.15">
      <c r="A221" s="4" t="s">
        <v>14</v>
      </c>
      <c r="B221" s="4" t="s">
        <v>9</v>
      </c>
      <c r="C221" s="4">
        <v>80</v>
      </c>
      <c r="D221" s="4" t="s">
        <v>12</v>
      </c>
      <c r="E221" s="4" t="s">
        <v>13</v>
      </c>
      <c r="F221" s="4">
        <v>70</v>
      </c>
      <c r="G221" s="4" t="s">
        <v>12</v>
      </c>
      <c r="H221" s="2">
        <v>0.66884624642086199</v>
      </c>
      <c r="I221" s="3">
        <v>8600000</v>
      </c>
    </row>
    <row r="222" spans="1:9" ht="13" x14ac:dyDescent="0.15">
      <c r="A222" s="4" t="s">
        <v>14</v>
      </c>
      <c r="B222" s="4" t="s">
        <v>9</v>
      </c>
      <c r="C222" s="4">
        <v>80</v>
      </c>
      <c r="D222" s="4" t="s">
        <v>10</v>
      </c>
      <c r="E222" s="4" t="s">
        <v>13</v>
      </c>
      <c r="F222" s="4">
        <v>75</v>
      </c>
      <c r="G222" s="4" t="s">
        <v>10</v>
      </c>
      <c r="H222" s="2">
        <v>0.69694263854271155</v>
      </c>
      <c r="I222" s="3">
        <v>12200000</v>
      </c>
    </row>
    <row r="223" spans="1:9" ht="13" x14ac:dyDescent="0.15">
      <c r="A223" s="4" t="s">
        <v>14</v>
      </c>
      <c r="B223" s="4" t="s">
        <v>9</v>
      </c>
      <c r="C223" s="4">
        <v>80</v>
      </c>
      <c r="D223" s="4" t="s">
        <v>10</v>
      </c>
      <c r="E223" s="4" t="s">
        <v>13</v>
      </c>
      <c r="F223" s="4">
        <v>75</v>
      </c>
      <c r="G223" s="4" t="s">
        <v>12</v>
      </c>
      <c r="H223" s="2">
        <v>0.67088111327245992</v>
      </c>
      <c r="I223" s="3">
        <v>9500000</v>
      </c>
    </row>
    <row r="224" spans="1:9" ht="13" x14ac:dyDescent="0.15">
      <c r="A224" s="4" t="s">
        <v>14</v>
      </c>
      <c r="B224" s="4" t="s">
        <v>9</v>
      </c>
      <c r="C224" s="4">
        <v>80</v>
      </c>
      <c r="D224" s="4" t="s">
        <v>12</v>
      </c>
      <c r="E224" s="4" t="s">
        <v>13</v>
      </c>
      <c r="F224" s="4">
        <v>75</v>
      </c>
      <c r="G224" s="4" t="s">
        <v>10</v>
      </c>
      <c r="H224" s="2">
        <v>0.65703859225183603</v>
      </c>
      <c r="I224" s="3">
        <v>7900000</v>
      </c>
    </row>
    <row r="225" spans="1:9" ht="13" x14ac:dyDescent="0.15">
      <c r="A225" s="4" t="s">
        <v>14</v>
      </c>
      <c r="B225" s="4" t="s">
        <v>9</v>
      </c>
      <c r="C225" s="4">
        <v>80</v>
      </c>
      <c r="D225" s="4" t="s">
        <v>12</v>
      </c>
      <c r="E225" s="4" t="s">
        <v>13</v>
      </c>
      <c r="F225" s="4">
        <v>75</v>
      </c>
      <c r="G225" s="4" t="s">
        <v>12</v>
      </c>
      <c r="H225" s="2">
        <v>0.66601432403571192</v>
      </c>
      <c r="I225" s="3">
        <v>6500000</v>
      </c>
    </row>
    <row r="226" spans="1:9" ht="13" x14ac:dyDescent="0.15">
      <c r="A226" s="4" t="s">
        <v>14</v>
      </c>
      <c r="B226" s="4" t="s">
        <v>9</v>
      </c>
      <c r="C226" s="4">
        <v>80</v>
      </c>
      <c r="D226" s="4" t="s">
        <v>10</v>
      </c>
      <c r="E226" s="4" t="s">
        <v>13</v>
      </c>
      <c r="F226" s="4">
        <v>80</v>
      </c>
      <c r="G226" s="4" t="s">
        <v>10</v>
      </c>
      <c r="H226" s="2">
        <v>0.66071936832240397</v>
      </c>
      <c r="I226" s="3">
        <v>8600000</v>
      </c>
    </row>
    <row r="227" spans="1:9" ht="13" x14ac:dyDescent="0.15">
      <c r="A227" s="4" t="s">
        <v>14</v>
      </c>
      <c r="B227" s="4" t="s">
        <v>9</v>
      </c>
      <c r="C227" s="4">
        <v>80</v>
      </c>
      <c r="D227" s="4" t="s">
        <v>10</v>
      </c>
      <c r="E227" s="4" t="s">
        <v>13</v>
      </c>
      <c r="F227" s="4">
        <v>80</v>
      </c>
      <c r="G227" s="4" t="s">
        <v>12</v>
      </c>
      <c r="H227" s="2">
        <v>0.66225900974875596</v>
      </c>
      <c r="I227" s="3">
        <v>7200000</v>
      </c>
    </row>
    <row r="228" spans="1:9" ht="13" x14ac:dyDescent="0.15">
      <c r="A228" s="4" t="s">
        <v>14</v>
      </c>
      <c r="B228" s="4" t="s">
        <v>9</v>
      </c>
      <c r="C228" s="4">
        <v>80</v>
      </c>
      <c r="D228" s="4" t="s">
        <v>12</v>
      </c>
      <c r="E228" s="4" t="s">
        <v>13</v>
      </c>
      <c r="F228" s="4">
        <v>80</v>
      </c>
      <c r="G228" s="4" t="s">
        <v>10</v>
      </c>
      <c r="H228" s="2">
        <v>0.63824366750547601</v>
      </c>
      <c r="I228" s="3">
        <v>6500000</v>
      </c>
    </row>
    <row r="229" spans="1:9" ht="13" x14ac:dyDescent="0.15">
      <c r="A229" s="4" t="s">
        <v>14</v>
      </c>
      <c r="B229" s="4" t="s">
        <v>9</v>
      </c>
      <c r="C229" s="4">
        <v>80</v>
      </c>
      <c r="D229" s="4" t="s">
        <v>12</v>
      </c>
      <c r="E229" s="4" t="s">
        <v>13</v>
      </c>
      <c r="F229" s="4">
        <v>80</v>
      </c>
      <c r="G229" s="4" t="s">
        <v>12</v>
      </c>
      <c r="H229" s="2">
        <v>0.65516975986364001</v>
      </c>
      <c r="I229" s="3">
        <v>5300000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7"/>
  <sheetViews>
    <sheetView tabSelected="1" workbookViewId="0">
      <selection activeCell="B30" sqref="B30"/>
    </sheetView>
  </sheetViews>
  <sheetFormatPr baseColWidth="10" defaultColWidth="12.5" defaultRowHeight="15.75" customHeight="1" x14ac:dyDescent="0.15"/>
  <cols>
    <col min="1" max="1" width="15.83203125" customWidth="1"/>
    <col min="2" max="2" width="21.33203125" customWidth="1"/>
    <col min="4" max="4" width="15.6640625" bestFit="1" customWidth="1"/>
    <col min="5" max="5" width="14.1640625" bestFit="1" customWidth="1"/>
  </cols>
  <sheetData>
    <row r="1" spans="1:5" ht="15.75" customHeight="1" x14ac:dyDescent="0.15">
      <c r="A1" s="5" t="s">
        <v>0</v>
      </c>
      <c r="B1" s="6" t="s">
        <v>14</v>
      </c>
    </row>
    <row r="2" spans="1:5" ht="15.75" customHeight="1" x14ac:dyDescent="0.15">
      <c r="A2" s="5" t="s">
        <v>1</v>
      </c>
      <c r="B2" s="6" t="s">
        <v>9</v>
      </c>
      <c r="D2" s="9" t="s">
        <v>18</v>
      </c>
      <c r="E2" s="10">
        <v>3000000</v>
      </c>
    </row>
    <row r="3" spans="1:5" ht="15.75" customHeight="1" x14ac:dyDescent="0.15">
      <c r="A3" s="5" t="s">
        <v>2</v>
      </c>
      <c r="B3" s="6">
        <v>55</v>
      </c>
    </row>
    <row r="4" spans="1:5" ht="15.75" customHeight="1" x14ac:dyDescent="0.15">
      <c r="A4" s="5" t="s">
        <v>3</v>
      </c>
      <c r="B4" s="6" t="s">
        <v>10</v>
      </c>
      <c r="D4" s="5" t="s">
        <v>19</v>
      </c>
      <c r="E4" s="12">
        <f>(E2/5000000)*B10</f>
        <v>12660000</v>
      </c>
    </row>
    <row r="5" spans="1:5" ht="15.75" customHeight="1" x14ac:dyDescent="0.15">
      <c r="A5" s="5" t="s">
        <v>4</v>
      </c>
      <c r="B5" s="6" t="s">
        <v>13</v>
      </c>
      <c r="D5" s="5" t="s">
        <v>20</v>
      </c>
      <c r="E5" s="12">
        <f>E2*(1-B9)</f>
        <v>986886.40203691169</v>
      </c>
    </row>
    <row r="6" spans="1:5" ht="15.75" customHeight="1" x14ac:dyDescent="0.15">
      <c r="A6" s="5" t="s">
        <v>15</v>
      </c>
      <c r="B6" s="6">
        <v>75</v>
      </c>
    </row>
    <row r="7" spans="1:5" ht="15.75" customHeight="1" x14ac:dyDescent="0.15">
      <c r="A7" s="5" t="s">
        <v>16</v>
      </c>
      <c r="B7" s="6" t="s">
        <v>10</v>
      </c>
    </row>
    <row r="8" spans="1:5" ht="15.75" customHeight="1" x14ac:dyDescent="0.15">
      <c r="A8" s="7"/>
    </row>
    <row r="9" spans="1:5" ht="15.75" customHeight="1" x14ac:dyDescent="0.15">
      <c r="A9" s="5" t="s">
        <v>7</v>
      </c>
      <c r="B9" s="13" cm="1">
        <f t="array" ref="B9">_xlfn.XLOOKUP(1, ('Inventory for JA'!$A$2:$A$229=$B$1)*('Inventory for JA'!$B$2:$B$229=$B$2)*('Inventory for JA'!$C$2:$C$229=$B$3)*('Inventory for JA'!$D$2:$D$229=$B$4)*(($B$1&lt;&gt;"Survivorship")+('Inventory for JA'!$E$2:$E$229=$B$5))*(($B$1&lt;&gt;"Survivorship")+('Inventory for JA'!$F$2:$F$229=$B$6))*(($B$1&lt;&gt;"Survivorship")+('Inventory for JA'!$G$2:$G$229=$B$7)), 'Inventory for JA'!$H$2:$H$229, "Not Found")</f>
        <v>0.6710378659876961</v>
      </c>
    </row>
    <row r="10" spans="1:5" ht="15.75" customHeight="1" x14ac:dyDescent="0.15">
      <c r="A10" s="11" t="s">
        <v>17</v>
      </c>
      <c r="B10" s="14" cm="1">
        <f t="array" ref="B10">_xlfn.XLOOKUP(1, ('Inventory for JA'!$A$2:$A$229=$B$1)*('Inventory for JA'!$B$2:$B$229=$B$2)*('Inventory for JA'!$C$2:$C$229=$B$3)*('Inventory for JA'!$D$2:$D$229=$B$4)*(($B$1&lt;&gt;"Survivorship")+('Inventory for JA'!$E$2:$E$229=$B$5))*(($B$1&lt;&gt;"Survivorship")+('Inventory for JA'!$F$2:$F$229=$B$6))*(($B$1&lt;&gt;"Survivorship")+('Inventory for JA'!$G$2:$G$229=$B$7)), 'Inventory for JA'!$I$2:$I$229, "Not Found")</f>
        <v>21100000</v>
      </c>
    </row>
    <row r="14" spans="1:5" ht="15.75" customHeight="1" x14ac:dyDescent="0.15">
      <c r="A14" s="9" t="s">
        <v>21</v>
      </c>
    </row>
    <row r="15" spans="1:5" ht="15.75" customHeight="1" x14ac:dyDescent="0.15">
      <c r="A15" s="9" t="s">
        <v>22</v>
      </c>
      <c r="B15">
        <v>8</v>
      </c>
    </row>
    <row r="16" spans="1:5" ht="15.75" customHeight="1" x14ac:dyDescent="0.15">
      <c r="A16" s="9" t="s">
        <v>23</v>
      </c>
      <c r="B16">
        <v>2</v>
      </c>
    </row>
    <row r="17" spans="1:2" ht="15.75" customHeight="1" x14ac:dyDescent="0.15">
      <c r="A17" s="9" t="s">
        <v>24</v>
      </c>
      <c r="B17">
        <v>2</v>
      </c>
    </row>
  </sheetData>
  <conditionalFormatting sqref="A5:B7">
    <cfRule type="expression" dxfId="0" priority="1" stopIfTrue="1">
      <formula>$B$1="Individual"</formula>
    </cfRule>
  </conditionalFormatting>
  <dataValidations count="4">
    <dataValidation type="list" allowBlank="1" sqref="B2 B5" xr:uid="{00000000-0002-0000-0200-000000000000}">
      <formula1>"Male,Female"</formula1>
    </dataValidation>
    <dataValidation type="list" allowBlank="1" sqref="B1" xr:uid="{00000000-0002-0000-0200-000001000000}">
      <formula1>"Individual,Survivorship"</formula1>
    </dataValidation>
    <dataValidation type="list" allowBlank="1" sqref="B4 B7" xr:uid="{00000000-0002-0000-0200-000002000000}">
      <formula1>"Preferred,Standard"</formula1>
    </dataValidation>
    <dataValidation type="decimal" allowBlank="1" showErrorMessage="1" sqref="B3 B6" xr:uid="{00000000-0002-0000-0200-000003000000}">
      <formula1>55</formula1>
      <formula2>75</formula2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for JA</vt:lpstr>
      <vt:lpstr>Calculator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Reed</cp:lastModifiedBy>
  <cp:revision/>
  <dcterms:created xsi:type="dcterms:W3CDTF">2026-06-15T23:13:16Z</dcterms:created>
  <dcterms:modified xsi:type="dcterms:W3CDTF">2026-07-10T18:00:00Z</dcterms:modified>
  <cp:category/>
  <cp:contentStatus/>
</cp:coreProperties>
</file>